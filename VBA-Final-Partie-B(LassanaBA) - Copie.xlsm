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DELL\Desktop\M1 SE\Projet final VBA-EXCEL\PROJET FINAL VBA-EXCEL\"/>
    </mc:Choice>
  </mc:AlternateContent>
  <bookViews>
    <workbookView xWindow="0" yWindow="0" windowWidth="18795" windowHeight="8010" activeTab="2"/>
  </bookViews>
  <sheets>
    <sheet name="Menu" sheetId="1" r:id="rId1"/>
    <sheet name="Bulletin" sheetId="2" r:id="rId2"/>
    <sheet name="Tableau de bord" sheetId="3" r:id="rId3"/>
    <sheet name="Livre de paie" sheetId="4" r:id="rId4"/>
    <sheet name="Ecriture comptable" sheetId="5" r:id="rId5"/>
  </sheets>
  <definedNames>
    <definedName name="_xlnm.Print_Area" localSheetId="1">Bulletin!$B$1:$E$29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7" i="5" l="1"/>
  <c r="H17" i="5"/>
  <c r="M51" i="4" l="1"/>
  <c r="L51" i="4"/>
  <c r="K51" i="4"/>
  <c r="J51" i="4"/>
  <c r="I51" i="4"/>
  <c r="H51" i="4"/>
  <c r="G51" i="4"/>
  <c r="F51" i="4"/>
  <c r="E51" i="4"/>
  <c r="D51" i="4"/>
  <c r="C51" i="4"/>
</calcChain>
</file>

<file path=xl/sharedStrings.xml><?xml version="1.0" encoding="utf-8"?>
<sst xmlns="http://schemas.openxmlformats.org/spreadsheetml/2006/main" count="410" uniqueCount="239">
  <si>
    <t xml:space="preserve">Bulletin  </t>
  </si>
  <si>
    <t>de</t>
  </si>
  <si>
    <t>salaire</t>
  </si>
  <si>
    <t>Prenom:</t>
  </si>
  <si>
    <t>Date et lieu de naissance:</t>
  </si>
  <si>
    <t>Etat Civile</t>
  </si>
  <si>
    <t>Sexe</t>
  </si>
  <si>
    <t>Nombre d'enfant:</t>
  </si>
  <si>
    <t>Categorie:</t>
  </si>
  <si>
    <t xml:space="preserve">Salaire de base (1) </t>
  </si>
  <si>
    <t>Sursalaire</t>
  </si>
  <si>
    <t xml:space="preserve">Heure supp à 15% (2) </t>
  </si>
  <si>
    <t>Heure supp à 40% (3)</t>
  </si>
  <si>
    <t>Heure supp à 60% (4)</t>
  </si>
  <si>
    <t>Heure supp à 100%(5)</t>
  </si>
  <si>
    <t>Prime Imposable(6)</t>
  </si>
  <si>
    <t xml:space="preserve">Salaire brut social </t>
  </si>
  <si>
    <t>Avantage (7)</t>
  </si>
  <si>
    <t>Salaire brut fiscal = Salaire Brut +(7)</t>
  </si>
  <si>
    <t xml:space="preserve">Régime Général (8) </t>
  </si>
  <si>
    <t>Régime Cadre (9)</t>
  </si>
  <si>
    <t>IPM (10)</t>
  </si>
  <si>
    <t>Retenue:</t>
  </si>
  <si>
    <t>TRIMF (11)</t>
  </si>
  <si>
    <t>IR (12)</t>
  </si>
  <si>
    <t>Acompte et Avances (13)</t>
  </si>
  <si>
    <t>Opposition (14)</t>
  </si>
  <si>
    <t>Total des retenues</t>
  </si>
  <si>
    <t xml:space="preserve">Salaire Net  = Salaire brut social - Retenues </t>
  </si>
  <si>
    <t xml:space="preserve">Prime non imposable </t>
  </si>
  <si>
    <t xml:space="preserve">Net à Payer  = Salaire Net - Prime non imposable </t>
  </si>
  <si>
    <t>sexe</t>
  </si>
  <si>
    <t>Nombre d'épouse</t>
  </si>
  <si>
    <t>Employé</t>
  </si>
  <si>
    <t>SBS</t>
  </si>
  <si>
    <t>RG</t>
  </si>
  <si>
    <t>RC</t>
  </si>
  <si>
    <t>IPM</t>
  </si>
  <si>
    <t>TRIMF</t>
  </si>
  <si>
    <t>IR</t>
  </si>
  <si>
    <t>Opposition</t>
  </si>
  <si>
    <t>Retenues</t>
  </si>
  <si>
    <t>Indemnité</t>
  </si>
  <si>
    <t>Salaire net</t>
  </si>
  <si>
    <t>N°</t>
  </si>
  <si>
    <t>Matricule</t>
  </si>
  <si>
    <t>Prenom</t>
  </si>
  <si>
    <t>Nom</t>
  </si>
  <si>
    <t>Date Naiss</t>
  </si>
  <si>
    <t>Lieu Naiss</t>
  </si>
  <si>
    <t>Etat Civil</t>
  </si>
  <si>
    <t>N epouse</t>
  </si>
  <si>
    <t>N enfant</t>
  </si>
  <si>
    <t>Catégorie</t>
  </si>
  <si>
    <t>H_Sup 15</t>
  </si>
  <si>
    <t>H_Sup 40</t>
  </si>
  <si>
    <t>H_Sup 60</t>
  </si>
  <si>
    <t>H_Sup 100</t>
  </si>
  <si>
    <t>Avantage</t>
  </si>
  <si>
    <t>AV et ac</t>
  </si>
  <si>
    <t>BIENVENUE DANS L'APPLICATION DE PAIE</t>
  </si>
  <si>
    <t>Partie A projet final VBA</t>
  </si>
  <si>
    <t>Mdsa&amp;sta-eco/ufr/set</t>
  </si>
  <si>
    <t xml:space="preserve">                à</t>
  </si>
  <si>
    <t>A</t>
  </si>
  <si>
    <t/>
  </si>
  <si>
    <t>Masculin</t>
  </si>
  <si>
    <t>HABIB</t>
  </si>
  <si>
    <t>FAYE</t>
  </si>
  <si>
    <t>Marié(e)</t>
  </si>
  <si>
    <t>Féminin</t>
  </si>
  <si>
    <t>C</t>
  </si>
  <si>
    <t>BA</t>
  </si>
  <si>
    <t>Célibataire</t>
  </si>
  <si>
    <t>AWA</t>
  </si>
  <si>
    <t>Intitulé du compte</t>
  </si>
  <si>
    <t>Montant débité</t>
  </si>
  <si>
    <t>Montant crédité</t>
  </si>
  <si>
    <t>Avance et Acompte</t>
  </si>
  <si>
    <t>Banque</t>
  </si>
  <si>
    <t>Rénumération directe versée</t>
  </si>
  <si>
    <t>Indemnité forfaitaire</t>
  </si>
  <si>
    <t>Personnel rénumérations dues</t>
  </si>
  <si>
    <t>Retraite obligatoire</t>
  </si>
  <si>
    <t>Retraite facultative</t>
  </si>
  <si>
    <t>Mutuelle de santé</t>
  </si>
  <si>
    <t>Etat,Impôts retenues à la sousce</t>
  </si>
  <si>
    <t>Total</t>
  </si>
  <si>
    <t>Numéro cpte débité</t>
  </si>
  <si>
    <t>Numéro cpte crédité</t>
  </si>
  <si>
    <t>PRIME</t>
  </si>
  <si>
    <t>INDEMNITE</t>
  </si>
  <si>
    <t>AVANCE_AC</t>
  </si>
  <si>
    <t>OPPOSITION</t>
  </si>
  <si>
    <t>ADAMA</t>
  </si>
  <si>
    <t>DAKAR</t>
  </si>
  <si>
    <t>B</t>
  </si>
  <si>
    <t>1232-BAMPASSY/B</t>
  </si>
  <si>
    <t>ALEX</t>
  </si>
  <si>
    <t>BAMPASSY</t>
  </si>
  <si>
    <t>26/10/1975</t>
  </si>
  <si>
    <t>TAMBA</t>
  </si>
  <si>
    <t>1233-BEYE/B</t>
  </si>
  <si>
    <t>ALA</t>
  </si>
  <si>
    <t>BEYE</t>
  </si>
  <si>
    <t>17/10/1982</t>
  </si>
  <si>
    <t>GOUDIRY</t>
  </si>
  <si>
    <t>1234-BOYE/C</t>
  </si>
  <si>
    <t>Medoune</t>
  </si>
  <si>
    <t>BOYE</t>
  </si>
  <si>
    <t>22/02/1980</t>
  </si>
  <si>
    <t>FATICK</t>
  </si>
  <si>
    <t>1231-BA/B</t>
  </si>
  <si>
    <t>LAHAT</t>
  </si>
  <si>
    <t>CISSE</t>
  </si>
  <si>
    <t>17/04/1983</t>
  </si>
  <si>
    <t>GUEDIAWAYE</t>
  </si>
  <si>
    <t>FARY</t>
  </si>
  <si>
    <t>DEME</t>
  </si>
  <si>
    <t>RANEROU</t>
  </si>
  <si>
    <t>MBOMBE</t>
  </si>
  <si>
    <t>DIAGNE</t>
  </si>
  <si>
    <t>31/01/1982</t>
  </si>
  <si>
    <t>PIKINE</t>
  </si>
  <si>
    <t>1239-DIALLO/A</t>
  </si>
  <si>
    <t>YACINE</t>
  </si>
  <si>
    <t>DIALLO</t>
  </si>
  <si>
    <t>17/10/1975</t>
  </si>
  <si>
    <t>1236-DEME/C</t>
  </si>
  <si>
    <t>1235-CISSE/C</t>
  </si>
  <si>
    <t>1237-DIAGNE/A</t>
  </si>
  <si>
    <t>1238-DIALLO/A</t>
  </si>
  <si>
    <t>ALIOUNE NDIAYE</t>
  </si>
  <si>
    <t>12310-DIAME/A</t>
  </si>
  <si>
    <t>KARIM ABDEL</t>
  </si>
  <si>
    <t>DIAME</t>
  </si>
  <si>
    <t>BANJUL</t>
  </si>
  <si>
    <t>12311-DIAO/B</t>
  </si>
  <si>
    <t>AISSATOU SECK</t>
  </si>
  <si>
    <t>DIAO</t>
  </si>
  <si>
    <t>26/08/1977</t>
  </si>
  <si>
    <t>ZIGUINCHOR</t>
  </si>
  <si>
    <t>12312-DIATTA/B</t>
  </si>
  <si>
    <t>LEON</t>
  </si>
  <si>
    <t>DIATTA</t>
  </si>
  <si>
    <t>19/07/1979</t>
  </si>
  <si>
    <t>OUSSOUYE</t>
  </si>
  <si>
    <t>12313-DIAW/B</t>
  </si>
  <si>
    <t>DIAW</t>
  </si>
  <si>
    <t>30/09/1989</t>
  </si>
  <si>
    <t>DIOURBEL</t>
  </si>
  <si>
    <t>12314-DIOP/C</t>
  </si>
  <si>
    <t>DIOP</t>
  </si>
  <si>
    <t>17/09/1985</t>
  </si>
  <si>
    <t>BAMBEY</t>
  </si>
  <si>
    <t>BA/A</t>
  </si>
  <si>
    <t>LASSANA</t>
  </si>
  <si>
    <t>KOUMPENTOUM</t>
  </si>
  <si>
    <t>12315-DIOP/C</t>
  </si>
  <si>
    <t>BABACAR</t>
  </si>
  <si>
    <t>19/03/1983</t>
  </si>
  <si>
    <t>Presenté par:</t>
  </si>
  <si>
    <t>Lassana BA (Partie A)</t>
  </si>
  <si>
    <t>Bassine BA (Partie B)</t>
  </si>
  <si>
    <t>FAYE/C</t>
  </si>
  <si>
    <t>MBOUR</t>
  </si>
  <si>
    <t>12315-DIOUF/C</t>
  </si>
  <si>
    <t>MODOU</t>
  </si>
  <si>
    <t>DIOUF</t>
  </si>
  <si>
    <t>14/04/1978</t>
  </si>
  <si>
    <t>KAFFRINE</t>
  </si>
  <si>
    <t>12317-DIOUF/C</t>
  </si>
  <si>
    <t>HENRY</t>
  </si>
  <si>
    <t>27/01/1977</t>
  </si>
  <si>
    <t>LOMPOL</t>
  </si>
  <si>
    <t>12318-DIOUM/A</t>
  </si>
  <si>
    <t>ASSANE</t>
  </si>
  <si>
    <t>DIOUM</t>
  </si>
  <si>
    <t>16/05/1982</t>
  </si>
  <si>
    <t>12319-FALL/C</t>
  </si>
  <si>
    <t>SENGANE</t>
  </si>
  <si>
    <t>FALL</t>
  </si>
  <si>
    <t>31/10/1984</t>
  </si>
  <si>
    <t>JOAL</t>
  </si>
  <si>
    <t>12320-FALL/B</t>
  </si>
  <si>
    <t>LAMINE</t>
  </si>
  <si>
    <t>28/11/1977</t>
  </si>
  <si>
    <t>YOFF</t>
  </si>
  <si>
    <t>12321-FAYE/B</t>
  </si>
  <si>
    <t>MOUHAMED</t>
  </si>
  <si>
    <t>RUFISQUE</t>
  </si>
  <si>
    <t>12322-FAYE/B</t>
  </si>
  <si>
    <t>NDIAYA</t>
  </si>
  <si>
    <t>SAINT LOUIS</t>
  </si>
  <si>
    <t>12323-GNING/C</t>
  </si>
  <si>
    <t>DAME</t>
  </si>
  <si>
    <t>GNING</t>
  </si>
  <si>
    <t>TOUBA</t>
  </si>
  <si>
    <t>12325-GUEYE/C</t>
  </si>
  <si>
    <t>BOUBA</t>
  </si>
  <si>
    <t>GUEYE</t>
  </si>
  <si>
    <t>27/10/1979</t>
  </si>
  <si>
    <t>SEDHIOU</t>
  </si>
  <si>
    <t>KINE</t>
  </si>
  <si>
    <t>AERE LAO</t>
  </si>
  <si>
    <t>12326-KANDJI/C</t>
  </si>
  <si>
    <t>MADIOP</t>
  </si>
  <si>
    <t>KANDJI</t>
  </si>
  <si>
    <t>27/07/1985</t>
  </si>
  <si>
    <t>KEDOUGOU</t>
  </si>
  <si>
    <t>12328-KARE/A</t>
  </si>
  <si>
    <t>KARE</t>
  </si>
  <si>
    <t>18/11/1985</t>
  </si>
  <si>
    <t>BAKEL</t>
  </si>
  <si>
    <t>ut-BA/A</t>
  </si>
  <si>
    <t>BASSINE</t>
  </si>
  <si>
    <t>fAYE-1</t>
  </si>
  <si>
    <t>Habib</t>
  </si>
  <si>
    <t>Refane</t>
  </si>
  <si>
    <t>SEYE-2</t>
  </si>
  <si>
    <t>Maty</t>
  </si>
  <si>
    <t>SEYE</t>
  </si>
  <si>
    <t xml:space="preserve">Makacolibantang </t>
  </si>
  <si>
    <t>LES SOMMES SONT EN BAS</t>
  </si>
  <si>
    <t>BBA.2</t>
  </si>
  <si>
    <t>Lassana</t>
  </si>
  <si>
    <t>camara.;</t>
  </si>
  <si>
    <t>Diama</t>
  </si>
  <si>
    <t>Camara</t>
  </si>
  <si>
    <t>Mbour</t>
  </si>
  <si>
    <t>Dd</t>
  </si>
  <si>
    <t>Mame Mareme</t>
  </si>
  <si>
    <t>Dione</t>
  </si>
  <si>
    <t>BAA</t>
  </si>
  <si>
    <t>LALLA</t>
  </si>
  <si>
    <t>Hadji</t>
  </si>
  <si>
    <t>Diallo</t>
  </si>
  <si>
    <t>26/06/1998</t>
  </si>
  <si>
    <t>FOuta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</si>
</sst>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Times New Roman"/>
      <family val="1"/>
    </font>
    <font>
      <sz val="28"/>
      <color theme="4" tint="-0.499984740745262"/>
      <name val="Algerian"/>
      <family val="5"/>
    </font>
    <font>
      <sz val="11"/>
      <color theme="4" tint="-0.499984740745262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2"/>
      <name val="Times New Roman"/>
      <family val="1"/>
    </font>
    <font>
      <sz val="12"/>
      <name val="Times New Roman"/>
      <family val="1"/>
    </font>
    <font>
      <b/>
      <u/>
      <sz val="11"/>
      <color theme="4" tint="-0.49998474074526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2F2F2"/>
      </patternFill>
    </fill>
  </fills>
  <borders count="4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indexed="64"/>
      </bottom>
      <diagonal/>
    </border>
    <border>
      <left/>
      <right style="thin">
        <color indexed="64"/>
      </right>
      <top style="thin">
        <color theme="4" tint="0.3999755851924192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5" fillId="8" borderId="34" applyNumberFormat="0" applyAlignment="0" applyProtection="0"/>
  </cellStyleXfs>
  <cellXfs count="85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quotePrefix="1" applyFont="1" applyFill="1" applyBorder="1"/>
    <xf numFmtId="0" fontId="0" fillId="3" borderId="4" xfId="0" applyFont="1" applyFill="1" applyBorder="1"/>
    <xf numFmtId="0" fontId="0" fillId="3" borderId="5" xfId="0" applyFont="1" applyFill="1" applyBorder="1"/>
    <xf numFmtId="0" fontId="0" fillId="3" borderId="6" xfId="0" applyFont="1" applyFill="1" applyBorder="1"/>
    <xf numFmtId="0" fontId="0" fillId="0" borderId="7" xfId="0" applyFont="1" applyBorder="1"/>
    <xf numFmtId="0" fontId="0" fillId="0" borderId="8" xfId="0" applyFont="1" applyBorder="1"/>
    <xf numFmtId="0" fontId="0" fillId="0" borderId="9" xfId="0" applyFont="1" applyBorder="1"/>
    <xf numFmtId="0" fontId="0" fillId="3" borderId="7" xfId="0" applyFont="1" applyFill="1" applyBorder="1"/>
    <xf numFmtId="0" fontId="0" fillId="3" borderId="8" xfId="0" applyFont="1" applyFill="1" applyBorder="1"/>
    <xf numFmtId="0" fontId="0" fillId="3" borderId="9" xfId="0" applyFont="1" applyFill="1" applyBorder="1"/>
    <xf numFmtId="0" fontId="0" fillId="0" borderId="10" xfId="0" applyFont="1" applyBorder="1"/>
    <xf numFmtId="0" fontId="0" fillId="0" borderId="5" xfId="0" applyFont="1" applyBorder="1"/>
    <xf numFmtId="0" fontId="0" fillId="0" borderId="11" xfId="0" applyFont="1" applyBorder="1"/>
    <xf numFmtId="0" fontId="0" fillId="3" borderId="12" xfId="0" applyFont="1" applyFill="1" applyBorder="1"/>
    <xf numFmtId="0" fontId="0" fillId="3" borderId="13" xfId="0" applyFont="1" applyFill="1" applyBorder="1"/>
    <xf numFmtId="0" fontId="0" fillId="0" borderId="12" xfId="0" applyFont="1" applyBorder="1"/>
    <xf numFmtId="0" fontId="0" fillId="0" borderId="13" xfId="0" applyFont="1" applyBorder="1"/>
    <xf numFmtId="0" fontId="0" fillId="0" borderId="14" xfId="0" applyFont="1" applyBorder="1"/>
    <xf numFmtId="0" fontId="0" fillId="0" borderId="15" xfId="0" applyFont="1" applyBorder="1"/>
    <xf numFmtId="0" fontId="0" fillId="0" borderId="16" xfId="0" applyFont="1" applyBorder="1"/>
    <xf numFmtId="0" fontId="0" fillId="3" borderId="17" xfId="0" applyFont="1" applyFill="1" applyBorder="1"/>
    <xf numFmtId="0" fontId="0" fillId="3" borderId="15" xfId="0" applyFont="1" applyFill="1" applyBorder="1"/>
    <xf numFmtId="0" fontId="0" fillId="3" borderId="16" xfId="0" applyFont="1" applyFill="1" applyBorder="1"/>
    <xf numFmtId="0" fontId="0" fillId="3" borderId="14" xfId="0" applyFont="1" applyFill="1" applyBorder="1"/>
    <xf numFmtId="0" fontId="0" fillId="3" borderId="18" xfId="0" applyFont="1" applyFill="1" applyBorder="1"/>
    <xf numFmtId="0" fontId="0" fillId="0" borderId="19" xfId="0" applyFont="1" applyBorder="1"/>
    <xf numFmtId="0" fontId="0" fillId="3" borderId="20" xfId="0" applyFont="1" applyFill="1" applyBorder="1"/>
    <xf numFmtId="0" fontId="0" fillId="3" borderId="2" xfId="0" applyFont="1" applyFill="1" applyBorder="1"/>
    <xf numFmtId="0" fontId="0" fillId="3" borderId="21" xfId="0" applyFont="1" applyFill="1" applyBorder="1"/>
    <xf numFmtId="0" fontId="0" fillId="0" borderId="20" xfId="0" applyFont="1" applyBorder="1"/>
    <xf numFmtId="0" fontId="0" fillId="0" borderId="2" xfId="0" applyFont="1" applyBorder="1"/>
    <xf numFmtId="0" fontId="0" fillId="0" borderId="22" xfId="0" applyFont="1" applyBorder="1"/>
    <xf numFmtId="0" fontId="0" fillId="0" borderId="23" xfId="0" applyFont="1" applyBorder="1"/>
    <xf numFmtId="0" fontId="0" fillId="0" borderId="24" xfId="0" applyFont="1" applyBorder="1"/>
    <xf numFmtId="0" fontId="0" fillId="0" borderId="7" xfId="0" applyBorder="1"/>
    <xf numFmtId="0" fontId="0" fillId="0" borderId="25" xfId="0" applyBorder="1"/>
    <xf numFmtId="0" fontId="0" fillId="0" borderId="0" xfId="0" applyBorder="1"/>
    <xf numFmtId="0" fontId="0" fillId="0" borderId="26" xfId="0" applyBorder="1"/>
    <xf numFmtId="0" fontId="0" fillId="0" borderId="27" xfId="0" applyBorder="1"/>
    <xf numFmtId="0" fontId="0" fillId="0" borderId="9" xfId="0" applyBorder="1"/>
    <xf numFmtId="0" fontId="0" fillId="0" borderId="28" xfId="0" applyBorder="1"/>
    <xf numFmtId="0" fontId="0" fillId="0" borderId="29" xfId="0" applyBorder="1"/>
    <xf numFmtId="0" fontId="0" fillId="0" borderId="32" xfId="0" applyBorder="1"/>
    <xf numFmtId="0" fontId="0" fillId="0" borderId="33" xfId="0" applyBorder="1"/>
    <xf numFmtId="0" fontId="0" fillId="4" borderId="1" xfId="0" applyFill="1" applyBorder="1"/>
    <xf numFmtId="0" fontId="0" fillId="4" borderId="2" xfId="0" applyFill="1" applyBorder="1"/>
    <xf numFmtId="0" fontId="0" fillId="4" borderId="7" xfId="0" applyFill="1" applyBorder="1"/>
    <xf numFmtId="0" fontId="3" fillId="6" borderId="0" xfId="0" applyFont="1" applyFill="1"/>
    <xf numFmtId="0" fontId="4" fillId="6" borderId="0" xfId="0" applyFont="1" applyFill="1"/>
    <xf numFmtId="0" fontId="4" fillId="7" borderId="0" xfId="0" applyFont="1" applyFill="1"/>
    <xf numFmtId="14" fontId="0" fillId="0" borderId="8" xfId="0" applyNumberFormat="1" applyFont="1" applyBorder="1"/>
    <xf numFmtId="14" fontId="0" fillId="0" borderId="7" xfId="0" applyNumberFormat="1" applyBorder="1"/>
    <xf numFmtId="0" fontId="6" fillId="5" borderId="35" xfId="1" applyFont="1" applyFill="1" applyBorder="1" applyAlignment="1">
      <alignment horizontal="center"/>
    </xf>
    <xf numFmtId="0" fontId="6" fillId="5" borderId="32" xfId="1" applyFont="1" applyFill="1" applyBorder="1" applyAlignment="1">
      <alignment horizontal="center"/>
    </xf>
    <xf numFmtId="0" fontId="6" fillId="5" borderId="33" xfId="1" applyFont="1" applyFill="1" applyBorder="1" applyAlignment="1">
      <alignment horizontal="center"/>
    </xf>
    <xf numFmtId="0" fontId="7" fillId="5" borderId="36" xfId="1" applyFont="1" applyFill="1" applyBorder="1" applyAlignment="1">
      <alignment horizontal="center"/>
    </xf>
    <xf numFmtId="0" fontId="7" fillId="5" borderId="37" xfId="1" applyFont="1" applyFill="1" applyBorder="1" applyAlignment="1">
      <alignment horizontal="center"/>
    </xf>
    <xf numFmtId="0" fontId="7" fillId="5" borderId="37" xfId="1" applyFont="1" applyFill="1" applyBorder="1" applyAlignment="1">
      <alignment horizontal="left"/>
    </xf>
    <xf numFmtId="1" fontId="7" fillId="5" borderId="37" xfId="1" applyNumberFormat="1" applyFont="1" applyFill="1" applyBorder="1" applyAlignment="1">
      <alignment horizontal="center"/>
    </xf>
    <xf numFmtId="0" fontId="7" fillId="5" borderId="38" xfId="1" applyFont="1" applyFill="1" applyBorder="1" applyAlignment="1">
      <alignment horizontal="center"/>
    </xf>
    <xf numFmtId="0" fontId="7" fillId="5" borderId="39" xfId="1" applyFont="1" applyFill="1" applyBorder="1" applyAlignment="1">
      <alignment horizontal="center"/>
    </xf>
    <xf numFmtId="0" fontId="7" fillId="5" borderId="30" xfId="1" applyFont="1" applyFill="1" applyBorder="1" applyAlignment="1">
      <alignment horizontal="center"/>
    </xf>
    <xf numFmtId="0" fontId="7" fillId="5" borderId="30" xfId="1" applyFont="1" applyFill="1" applyBorder="1" applyAlignment="1">
      <alignment horizontal="right"/>
    </xf>
    <xf numFmtId="0" fontId="7" fillId="5" borderId="31" xfId="1" applyFont="1" applyFill="1" applyBorder="1" applyAlignment="1">
      <alignment horizontal="center"/>
    </xf>
    <xf numFmtId="0" fontId="7" fillId="5" borderId="40" xfId="1" applyFont="1" applyFill="1" applyBorder="1" applyAlignment="1">
      <alignment horizontal="center"/>
    </xf>
    <xf numFmtId="0" fontId="7" fillId="5" borderId="7" xfId="1" applyFont="1" applyFill="1" applyBorder="1" applyAlignment="1">
      <alignment horizontal="center"/>
    </xf>
    <xf numFmtId="0" fontId="7" fillId="5" borderId="7" xfId="1" applyFont="1" applyFill="1" applyBorder="1" applyAlignment="1">
      <alignment horizontal="left"/>
    </xf>
    <xf numFmtId="0" fontId="7" fillId="5" borderId="26" xfId="1" applyFont="1" applyFill="1" applyBorder="1" applyAlignment="1">
      <alignment horizontal="center"/>
    </xf>
    <xf numFmtId="0" fontId="7" fillId="5" borderId="7" xfId="1" applyFont="1" applyFill="1" applyBorder="1" applyAlignment="1">
      <alignment horizontal="right"/>
    </xf>
    <xf numFmtId="0" fontId="7" fillId="5" borderId="30" xfId="1" applyFont="1" applyFill="1" applyBorder="1" applyAlignment="1">
      <alignment horizontal="left"/>
    </xf>
    <xf numFmtId="0" fontId="7" fillId="5" borderId="35" xfId="1" applyFont="1" applyFill="1" applyBorder="1" applyAlignment="1">
      <alignment horizontal="center"/>
    </xf>
    <xf numFmtId="0" fontId="7" fillId="5" borderId="32" xfId="1" applyFont="1" applyFill="1" applyBorder="1" applyAlignment="1">
      <alignment horizontal="center"/>
    </xf>
    <xf numFmtId="0" fontId="7" fillId="5" borderId="33" xfId="1" applyFont="1" applyFill="1" applyBorder="1" applyAlignment="1">
      <alignment horizontal="center"/>
    </xf>
    <xf numFmtId="0" fontId="2" fillId="4" borderId="7" xfId="0" applyFont="1" applyFill="1" applyBorder="1"/>
    <xf numFmtId="0" fontId="0" fillId="4" borderId="0" xfId="0" applyFill="1"/>
    <xf numFmtId="0" fontId="0" fillId="0" borderId="42" xfId="0" applyBorder="1"/>
    <xf numFmtId="0" fontId="0" fillId="0" borderId="35" xfId="0" applyBorder="1"/>
    <xf numFmtId="0" fontId="8" fillId="6" borderId="0" xfId="0" applyFont="1" applyFill="1"/>
    <xf numFmtId="0" fontId="0" fillId="3" borderId="42" xfId="0" applyFont="1" applyFill="1" applyBorder="1"/>
    <xf numFmtId="0" fontId="0" fillId="3" borderId="43" xfId="0" applyFont="1" applyFill="1" applyBorder="1"/>
    <xf numFmtId="14" fontId="0" fillId="0" borderId="0" xfId="0" applyNumberFormat="1"/>
    <xf numFmtId="1" fontId="7" fillId="5" borderId="41" xfId="1" applyNumberFormat="1" applyFont="1" applyFill="1" applyBorder="1" applyAlignment="1">
      <alignment horizontal="center"/>
    </xf>
  </cellXfs>
  <cellStyles count="2">
    <cellStyle name="Calcul" xfId="1" builtinId="2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304800</xdr:colOff>
      <xdr:row>8</xdr:row>
      <xdr:rowOff>28575</xdr:rowOff>
    </xdr:from>
    <xdr:to>
      <xdr:col>7</xdr:col>
      <xdr:colOff>142875</xdr:colOff>
      <xdr:row>10</xdr:row>
      <xdr:rowOff>114300</xdr:rowOff>
    </xdr:to>
    <xdr:sp macro="[0]!Feuil1.UserForm1" textlink="">
      <xdr:nvSpPr>
        <xdr:cNvPr id="2" name="Arrondir un rectangle avec un coin diagonal 1"/>
        <xdr:cNvSpPr/>
      </xdr:nvSpPr>
      <xdr:spPr>
        <a:xfrm>
          <a:off x="3352800" y="1857375"/>
          <a:ext cx="2124075" cy="466725"/>
        </a:xfrm>
        <a:prstGeom prst="round2DiagRect">
          <a:avLst/>
        </a:prstGeom>
        <a:solidFill>
          <a:schemeClr val="accent4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BULLETIN</a:t>
          </a:r>
          <a:r>
            <a:rPr lang="fr-FR" sz="16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SALAIRE</a:t>
          </a:r>
          <a:endParaRPr lang="fr-FR" sz="11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8</xdr:col>
      <xdr:colOff>371475</xdr:colOff>
      <xdr:row>8</xdr:row>
      <xdr:rowOff>0</xdr:rowOff>
    </xdr:from>
    <xdr:to>
      <xdr:col>11</xdr:col>
      <xdr:colOff>209550</xdr:colOff>
      <xdr:row>10</xdr:row>
      <xdr:rowOff>85725</xdr:rowOff>
    </xdr:to>
    <xdr:sp macro="[0]!Tableaudebord_Arrondirunrectangleavecuncoindiagonal3_Cliquer" textlink="">
      <xdr:nvSpPr>
        <xdr:cNvPr id="3" name="Arrondir un rectangle avec un coin diagonal 2"/>
        <xdr:cNvSpPr/>
      </xdr:nvSpPr>
      <xdr:spPr>
        <a:xfrm>
          <a:off x="6467475" y="1828800"/>
          <a:ext cx="2124075" cy="466725"/>
        </a:xfrm>
        <a:prstGeom prst="round2DiagRect">
          <a:avLst/>
        </a:prstGeom>
        <a:solidFill>
          <a:schemeClr val="accent4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LIVRE</a:t>
          </a:r>
          <a:r>
            <a:rPr lang="fr-FR" sz="16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PAIE</a:t>
          </a:r>
          <a:endParaRPr lang="fr-FR" sz="11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304800</xdr:colOff>
      <xdr:row>13</xdr:row>
      <xdr:rowOff>171450</xdr:rowOff>
    </xdr:from>
    <xdr:to>
      <xdr:col>7</xdr:col>
      <xdr:colOff>142875</xdr:colOff>
      <xdr:row>16</xdr:row>
      <xdr:rowOff>66675</xdr:rowOff>
    </xdr:to>
    <xdr:sp macro="[0]!Arrondirunrectangleavecuncoindiagonal5_Cliquer" textlink="">
      <xdr:nvSpPr>
        <xdr:cNvPr id="4" name="Arrondir un rectangle avec un coin diagonal 3"/>
        <xdr:cNvSpPr/>
      </xdr:nvSpPr>
      <xdr:spPr>
        <a:xfrm>
          <a:off x="3352800" y="2952750"/>
          <a:ext cx="2124075" cy="466725"/>
        </a:xfrm>
        <a:prstGeom prst="round2DiagRect">
          <a:avLst/>
        </a:prstGeom>
        <a:solidFill>
          <a:schemeClr val="accent4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ECRITURE COMPTAPLE</a:t>
          </a:r>
          <a:endParaRPr lang="fr-FR" sz="105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8</xdr:col>
      <xdr:colOff>361950</xdr:colOff>
      <xdr:row>13</xdr:row>
      <xdr:rowOff>114300</xdr:rowOff>
    </xdr:from>
    <xdr:to>
      <xdr:col>11</xdr:col>
      <xdr:colOff>200025</xdr:colOff>
      <xdr:row>16</xdr:row>
      <xdr:rowOff>9525</xdr:rowOff>
    </xdr:to>
    <xdr:sp macro="[0]!Arrondirunrectangleavecuncoindiagonal3_Cliquer" textlink="">
      <xdr:nvSpPr>
        <xdr:cNvPr id="5" name="Arrondir un rectangle avec un coin diagonal 4"/>
        <xdr:cNvSpPr/>
      </xdr:nvSpPr>
      <xdr:spPr>
        <a:xfrm>
          <a:off x="6457950" y="2895600"/>
          <a:ext cx="2124075" cy="466725"/>
        </a:xfrm>
        <a:prstGeom prst="round2DiagRect">
          <a:avLst/>
        </a:prstGeom>
        <a:solidFill>
          <a:schemeClr val="accent4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TABLEAU</a:t>
          </a:r>
          <a:r>
            <a:rPr lang="fr-FR" sz="16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BORD</a:t>
          </a:r>
          <a:endParaRPr lang="fr-FR" sz="11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19049</xdr:colOff>
      <xdr:row>1</xdr:row>
      <xdr:rowOff>161925</xdr:rowOff>
    </xdr:from>
    <xdr:to>
      <xdr:col>8</xdr:col>
      <xdr:colOff>619124</xdr:colOff>
      <xdr:row>4</xdr:row>
      <xdr:rowOff>57150</xdr:rowOff>
    </xdr:to>
    <xdr:sp macro="[0]!Arrondirunrectangleavecuncoindiagonal1_Cliquer" textlink="">
      <xdr:nvSpPr>
        <xdr:cNvPr id="2" name="Arrondir un rectangle avec un coin diagonal 1"/>
        <xdr:cNvSpPr/>
      </xdr:nvSpPr>
      <xdr:spPr>
        <a:xfrm>
          <a:off x="6334124" y="361950"/>
          <a:ext cx="2124075" cy="466725"/>
        </a:xfrm>
        <a:prstGeom prst="round2DiagRect">
          <a:avLst/>
        </a:prstGeom>
        <a:solidFill>
          <a:schemeClr val="accent4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AJOUTER</a:t>
          </a:r>
          <a:endParaRPr lang="fr-FR" sz="11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6</xdr:col>
      <xdr:colOff>9525</xdr:colOff>
      <xdr:row>5</xdr:row>
      <xdr:rowOff>0</xdr:rowOff>
    </xdr:from>
    <xdr:to>
      <xdr:col>8</xdr:col>
      <xdr:colOff>609600</xdr:colOff>
      <xdr:row>7</xdr:row>
      <xdr:rowOff>85725</xdr:rowOff>
    </xdr:to>
    <xdr:sp macro="[0]!Arrondirunrectangleavecuncoindiagonal2_Cliquer" textlink="">
      <xdr:nvSpPr>
        <xdr:cNvPr id="3" name="Arrondir un rectangle avec un coin diagonal 2"/>
        <xdr:cNvSpPr/>
      </xdr:nvSpPr>
      <xdr:spPr>
        <a:xfrm>
          <a:off x="6324600" y="962025"/>
          <a:ext cx="2124075" cy="466725"/>
        </a:xfrm>
        <a:prstGeom prst="round2DiagRect">
          <a:avLst/>
        </a:prstGeom>
        <a:solidFill>
          <a:schemeClr val="accent4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MENU</a:t>
          </a:r>
          <a:r>
            <a:rPr lang="fr-FR" sz="16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PRINCIPAL</a:t>
          </a:r>
          <a:endParaRPr lang="fr-FR" sz="11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752475</xdr:colOff>
      <xdr:row>8</xdr:row>
      <xdr:rowOff>9525</xdr:rowOff>
    </xdr:from>
    <xdr:to>
      <xdr:col>8</xdr:col>
      <xdr:colOff>590550</xdr:colOff>
      <xdr:row>10</xdr:row>
      <xdr:rowOff>95250</xdr:rowOff>
    </xdr:to>
    <xdr:sp macro="[0]!Arrondirunrectangleavecuncoindiagonal3_Cliquer" textlink="">
      <xdr:nvSpPr>
        <xdr:cNvPr id="4" name="Arrondir un rectangle avec un coin diagonal 3"/>
        <xdr:cNvSpPr/>
      </xdr:nvSpPr>
      <xdr:spPr>
        <a:xfrm>
          <a:off x="6305550" y="1543050"/>
          <a:ext cx="2124075" cy="466725"/>
        </a:xfrm>
        <a:prstGeom prst="round2DiagRect">
          <a:avLst/>
        </a:prstGeom>
        <a:solidFill>
          <a:schemeClr val="accent4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TABLEAU DE</a:t>
          </a:r>
          <a:r>
            <a:rPr lang="fr-FR" sz="16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BORD</a:t>
          </a:r>
          <a:endParaRPr lang="fr-FR" sz="11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6</xdr:col>
      <xdr:colOff>28575</xdr:colOff>
      <xdr:row>14</xdr:row>
      <xdr:rowOff>38100</xdr:rowOff>
    </xdr:from>
    <xdr:to>
      <xdr:col>8</xdr:col>
      <xdr:colOff>628650</xdr:colOff>
      <xdr:row>16</xdr:row>
      <xdr:rowOff>123825</xdr:rowOff>
    </xdr:to>
    <xdr:sp macro="[0]!Arrondirunrectangleavecuncoindiagonal5_Cliquer" textlink="">
      <xdr:nvSpPr>
        <xdr:cNvPr id="6" name="Arrondir un rectangle avec un coin diagonal 5"/>
        <xdr:cNvSpPr/>
      </xdr:nvSpPr>
      <xdr:spPr>
        <a:xfrm>
          <a:off x="6343650" y="2714625"/>
          <a:ext cx="2124075" cy="466725"/>
        </a:xfrm>
        <a:prstGeom prst="round2DiagRect">
          <a:avLst/>
        </a:prstGeom>
        <a:solidFill>
          <a:schemeClr val="accent4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ECRITURE</a:t>
          </a:r>
          <a:r>
            <a:rPr lang="fr-FR" sz="14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COMPTABLE</a:t>
          </a:r>
          <a:endParaRPr lang="fr-FR" sz="105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752475</xdr:colOff>
      <xdr:row>11</xdr:row>
      <xdr:rowOff>19050</xdr:rowOff>
    </xdr:from>
    <xdr:to>
      <xdr:col>8</xdr:col>
      <xdr:colOff>590550</xdr:colOff>
      <xdr:row>13</xdr:row>
      <xdr:rowOff>104775</xdr:rowOff>
    </xdr:to>
    <xdr:sp macro="[0]!Tableaudebord_Arrondirunrectangleavecuncoindiagonal3_Cliquer" textlink="">
      <xdr:nvSpPr>
        <xdr:cNvPr id="8" name="Arrondir un rectangle avec un coin diagonal 7"/>
        <xdr:cNvSpPr/>
      </xdr:nvSpPr>
      <xdr:spPr>
        <a:xfrm>
          <a:off x="6572250" y="2124075"/>
          <a:ext cx="2124075" cy="466725"/>
        </a:xfrm>
        <a:prstGeom prst="round2DiagRect">
          <a:avLst/>
        </a:prstGeom>
        <a:solidFill>
          <a:schemeClr val="accent4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LIVRE DE PAIE</a:t>
          </a:r>
          <a:endParaRPr lang="fr-FR" sz="11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6</xdr:col>
      <xdr:colOff>38100</xdr:colOff>
      <xdr:row>17</xdr:row>
      <xdr:rowOff>133350</xdr:rowOff>
    </xdr:from>
    <xdr:to>
      <xdr:col>8</xdr:col>
      <xdr:colOff>638175</xdr:colOff>
      <xdr:row>20</xdr:row>
      <xdr:rowOff>19050</xdr:rowOff>
    </xdr:to>
    <xdr:sp macro="[0]!CommandButton6_Click" textlink="">
      <xdr:nvSpPr>
        <xdr:cNvPr id="9" name="Arrondir un rectangle avec un coin diagonal 8"/>
        <xdr:cNvSpPr/>
      </xdr:nvSpPr>
      <xdr:spPr>
        <a:xfrm>
          <a:off x="6619875" y="3400425"/>
          <a:ext cx="2124075" cy="466725"/>
        </a:xfrm>
        <a:prstGeom prst="round2DiagRect">
          <a:avLst/>
        </a:prstGeom>
        <a:solidFill>
          <a:schemeClr val="accent4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IMPRIMER</a:t>
          </a:r>
          <a:r>
            <a:rPr lang="fr-FR" sz="14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LE BULLETIN</a:t>
          </a:r>
          <a:endParaRPr lang="fr-FR" sz="105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323850</xdr:colOff>
      <xdr:row>6</xdr:row>
      <xdr:rowOff>47625</xdr:rowOff>
    </xdr:from>
    <xdr:to>
      <xdr:col>25</xdr:col>
      <xdr:colOff>161925</xdr:colOff>
      <xdr:row>8</xdr:row>
      <xdr:rowOff>57150</xdr:rowOff>
    </xdr:to>
    <xdr:sp macro="[0]!Arrondirunrectangleavecuncoindiagonal1_Cliquer" textlink="">
      <xdr:nvSpPr>
        <xdr:cNvPr id="2" name="Arrondir un rectangle avec un coin diagonal 1"/>
        <xdr:cNvSpPr/>
      </xdr:nvSpPr>
      <xdr:spPr>
        <a:xfrm>
          <a:off x="15125700" y="1200150"/>
          <a:ext cx="2124075" cy="390525"/>
        </a:xfrm>
        <a:prstGeom prst="round2DiagRect">
          <a:avLst/>
        </a:prstGeom>
        <a:solidFill>
          <a:schemeClr val="accent4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AJOUTER</a:t>
          </a:r>
          <a:endParaRPr lang="fr-FR" sz="11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22</xdr:col>
      <xdr:colOff>333376</xdr:colOff>
      <xdr:row>8</xdr:row>
      <xdr:rowOff>142875</xdr:rowOff>
    </xdr:from>
    <xdr:to>
      <xdr:col>25</xdr:col>
      <xdr:colOff>171451</xdr:colOff>
      <xdr:row>10</xdr:row>
      <xdr:rowOff>152400</xdr:rowOff>
    </xdr:to>
    <xdr:sp macro="[0]!Arrondirunrectangleavecuncoindiagonal2_Cliquer" textlink="">
      <xdr:nvSpPr>
        <xdr:cNvPr id="3" name="Arrondir un rectangle avec un coin diagonal 2"/>
        <xdr:cNvSpPr/>
      </xdr:nvSpPr>
      <xdr:spPr>
        <a:xfrm>
          <a:off x="15135226" y="1676400"/>
          <a:ext cx="2124075" cy="390525"/>
        </a:xfrm>
        <a:prstGeom prst="round2DiagRect">
          <a:avLst/>
        </a:prstGeom>
        <a:solidFill>
          <a:schemeClr val="accent4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MENU</a:t>
          </a:r>
          <a:r>
            <a:rPr lang="fr-FR" sz="16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PRINCIPAL</a:t>
          </a:r>
          <a:endParaRPr lang="fr-FR" sz="11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22</xdr:col>
      <xdr:colOff>323851</xdr:colOff>
      <xdr:row>11</xdr:row>
      <xdr:rowOff>76200</xdr:rowOff>
    </xdr:from>
    <xdr:to>
      <xdr:col>25</xdr:col>
      <xdr:colOff>161926</xdr:colOff>
      <xdr:row>13</xdr:row>
      <xdr:rowOff>161925</xdr:rowOff>
    </xdr:to>
    <xdr:sp macro="[0]!Tableaudebord_Arrondirunrectangleavecuncoindiagonal3_Cliquer" textlink="">
      <xdr:nvSpPr>
        <xdr:cNvPr id="4" name="Arrondir un rectangle avec un coin diagonal 3"/>
        <xdr:cNvSpPr/>
      </xdr:nvSpPr>
      <xdr:spPr>
        <a:xfrm>
          <a:off x="15125701" y="2181225"/>
          <a:ext cx="2124075" cy="466725"/>
        </a:xfrm>
        <a:prstGeom prst="round2DiagRect">
          <a:avLst/>
        </a:prstGeom>
        <a:solidFill>
          <a:schemeClr val="accent4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LIVRE DE PAIE</a:t>
          </a:r>
          <a:endParaRPr lang="fr-FR" sz="11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22</xdr:col>
      <xdr:colOff>323851</xdr:colOff>
      <xdr:row>14</xdr:row>
      <xdr:rowOff>95250</xdr:rowOff>
    </xdr:from>
    <xdr:to>
      <xdr:col>25</xdr:col>
      <xdr:colOff>161926</xdr:colOff>
      <xdr:row>16</xdr:row>
      <xdr:rowOff>180975</xdr:rowOff>
    </xdr:to>
    <xdr:sp macro="[0]!Feuil1.UserForm1" textlink="">
      <xdr:nvSpPr>
        <xdr:cNvPr id="5" name="Arrondir un rectangle avec un coin diagonal 4"/>
        <xdr:cNvSpPr/>
      </xdr:nvSpPr>
      <xdr:spPr>
        <a:xfrm>
          <a:off x="15125701" y="2771775"/>
          <a:ext cx="2124075" cy="466725"/>
        </a:xfrm>
        <a:prstGeom prst="round2DiagRect">
          <a:avLst/>
        </a:prstGeom>
        <a:solidFill>
          <a:schemeClr val="accent4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BULLETIN</a:t>
          </a:r>
          <a:r>
            <a:rPr lang="fr-FR" sz="16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SALAIRE</a:t>
          </a:r>
          <a:endParaRPr lang="fr-FR" sz="11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22</xdr:col>
      <xdr:colOff>342901</xdr:colOff>
      <xdr:row>17</xdr:row>
      <xdr:rowOff>104775</xdr:rowOff>
    </xdr:from>
    <xdr:to>
      <xdr:col>25</xdr:col>
      <xdr:colOff>180976</xdr:colOff>
      <xdr:row>20</xdr:row>
      <xdr:rowOff>0</xdr:rowOff>
    </xdr:to>
    <xdr:sp macro="[0]!Arrondirunrectangleavecuncoindiagonal5_Cliquer" textlink="">
      <xdr:nvSpPr>
        <xdr:cNvPr id="6" name="Arrondir un rectangle avec un coin diagonal 5"/>
        <xdr:cNvSpPr/>
      </xdr:nvSpPr>
      <xdr:spPr>
        <a:xfrm>
          <a:off x="15144751" y="3352800"/>
          <a:ext cx="2124075" cy="466725"/>
        </a:xfrm>
        <a:prstGeom prst="round2DiagRect">
          <a:avLst/>
        </a:prstGeom>
        <a:solidFill>
          <a:schemeClr val="accent4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ECRITURE</a:t>
          </a:r>
          <a:r>
            <a:rPr lang="fr-FR" sz="14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COMPTABLE</a:t>
          </a:r>
          <a:endParaRPr lang="fr-FR" sz="105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22</xdr:col>
      <xdr:colOff>361950</xdr:colOff>
      <xdr:row>21</xdr:row>
      <xdr:rowOff>9525</xdr:rowOff>
    </xdr:from>
    <xdr:to>
      <xdr:col>25</xdr:col>
      <xdr:colOff>161925</xdr:colOff>
      <xdr:row>23</xdr:row>
      <xdr:rowOff>85725</xdr:rowOff>
    </xdr:to>
    <xdr:sp macro="[0]!supprimeSalarie" textlink="">
      <xdr:nvSpPr>
        <xdr:cNvPr id="7" name="Arrondir un rectangle avec un coin diagonal 6"/>
        <xdr:cNvSpPr/>
      </xdr:nvSpPr>
      <xdr:spPr>
        <a:xfrm>
          <a:off x="15163800" y="4019550"/>
          <a:ext cx="2085975" cy="457200"/>
        </a:xfrm>
        <a:prstGeom prst="round2DiagRect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 b="1">
              <a:solidFill>
                <a:sysClr val="windowText" lastClr="000000"/>
              </a:solidFill>
            </a:rPr>
            <a:t>Supprimer un</a:t>
          </a:r>
          <a:r>
            <a:rPr lang="fr-FR" sz="1400" b="1" baseline="0">
              <a:solidFill>
                <a:sysClr val="windowText" lastClr="000000"/>
              </a:solidFill>
            </a:rPr>
            <a:t> numero</a:t>
          </a:r>
          <a:endParaRPr lang="fr-FR" sz="14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76199</xdr:colOff>
      <xdr:row>3</xdr:row>
      <xdr:rowOff>9525</xdr:rowOff>
    </xdr:from>
    <xdr:to>
      <xdr:col>15</xdr:col>
      <xdr:colOff>676274</xdr:colOff>
      <xdr:row>5</xdr:row>
      <xdr:rowOff>95250</xdr:rowOff>
    </xdr:to>
    <xdr:sp macro="[0]!Arrondirunrectangleavecuncoindiagonal1_Cliquer" textlink="">
      <xdr:nvSpPr>
        <xdr:cNvPr id="2" name="Arrondir un rectangle avec un coin diagonal 1"/>
        <xdr:cNvSpPr/>
      </xdr:nvSpPr>
      <xdr:spPr>
        <a:xfrm>
          <a:off x="9982199" y="590550"/>
          <a:ext cx="2124075" cy="466725"/>
        </a:xfrm>
        <a:prstGeom prst="round2DiagRect">
          <a:avLst/>
        </a:prstGeom>
        <a:solidFill>
          <a:schemeClr val="accent4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AJOUTER</a:t>
          </a:r>
          <a:endParaRPr lang="fr-FR" sz="11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13</xdr:col>
      <xdr:colOff>85725</xdr:colOff>
      <xdr:row>6</xdr:row>
      <xdr:rowOff>28575</xdr:rowOff>
    </xdr:from>
    <xdr:to>
      <xdr:col>15</xdr:col>
      <xdr:colOff>685800</xdr:colOff>
      <xdr:row>8</xdr:row>
      <xdr:rowOff>114300</xdr:rowOff>
    </xdr:to>
    <xdr:sp macro="[0]!Arrondirunrectangleavecuncoindiagonal2_Cliquer" textlink="">
      <xdr:nvSpPr>
        <xdr:cNvPr id="3" name="Arrondir un rectangle avec un coin diagonal 2"/>
        <xdr:cNvSpPr/>
      </xdr:nvSpPr>
      <xdr:spPr>
        <a:xfrm>
          <a:off x="9991725" y="1181100"/>
          <a:ext cx="2124075" cy="466725"/>
        </a:xfrm>
        <a:prstGeom prst="round2DiagRect">
          <a:avLst/>
        </a:prstGeom>
        <a:solidFill>
          <a:schemeClr val="accent4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MENU</a:t>
          </a:r>
          <a:r>
            <a:rPr lang="fr-FR" sz="16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PRINCIPAL</a:t>
          </a:r>
          <a:endParaRPr lang="fr-FR" sz="11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13</xdr:col>
      <xdr:colOff>76200</xdr:colOff>
      <xdr:row>9</xdr:row>
      <xdr:rowOff>38100</xdr:rowOff>
    </xdr:from>
    <xdr:to>
      <xdr:col>15</xdr:col>
      <xdr:colOff>676275</xdr:colOff>
      <xdr:row>11</xdr:row>
      <xdr:rowOff>123825</xdr:rowOff>
    </xdr:to>
    <xdr:sp macro="[0]!Arrondirunrectangleavecuncoindiagonal3_Cliquer" textlink="">
      <xdr:nvSpPr>
        <xdr:cNvPr id="4" name="Arrondir un rectangle avec un coin diagonal 3"/>
        <xdr:cNvSpPr/>
      </xdr:nvSpPr>
      <xdr:spPr>
        <a:xfrm>
          <a:off x="9982200" y="1762125"/>
          <a:ext cx="2124075" cy="466725"/>
        </a:xfrm>
        <a:prstGeom prst="round2DiagRect">
          <a:avLst/>
        </a:prstGeom>
        <a:solidFill>
          <a:schemeClr val="accent4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TABLEAU DE</a:t>
          </a:r>
          <a:r>
            <a:rPr lang="fr-FR" sz="16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BORD</a:t>
          </a:r>
          <a:endParaRPr lang="fr-FR" sz="11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13</xdr:col>
      <xdr:colOff>76200</xdr:colOff>
      <xdr:row>12</xdr:row>
      <xdr:rowOff>57150</xdr:rowOff>
    </xdr:from>
    <xdr:to>
      <xdr:col>15</xdr:col>
      <xdr:colOff>676275</xdr:colOff>
      <xdr:row>14</xdr:row>
      <xdr:rowOff>142875</xdr:rowOff>
    </xdr:to>
    <xdr:sp macro="[0]!Feuil1.UserForm1" textlink="">
      <xdr:nvSpPr>
        <xdr:cNvPr id="5" name="Arrondir un rectangle avec un coin diagonal 4"/>
        <xdr:cNvSpPr/>
      </xdr:nvSpPr>
      <xdr:spPr>
        <a:xfrm>
          <a:off x="9982200" y="2352675"/>
          <a:ext cx="2124075" cy="466725"/>
        </a:xfrm>
        <a:prstGeom prst="round2DiagRect">
          <a:avLst/>
        </a:prstGeom>
        <a:solidFill>
          <a:schemeClr val="accent4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BULLETIN</a:t>
          </a:r>
          <a:r>
            <a:rPr lang="fr-FR" sz="16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SALAIRE</a:t>
          </a:r>
          <a:endParaRPr lang="fr-FR" sz="11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13</xdr:col>
      <xdr:colOff>95250</xdr:colOff>
      <xdr:row>15</xdr:row>
      <xdr:rowOff>66675</xdr:rowOff>
    </xdr:from>
    <xdr:to>
      <xdr:col>15</xdr:col>
      <xdr:colOff>695325</xdr:colOff>
      <xdr:row>17</xdr:row>
      <xdr:rowOff>152400</xdr:rowOff>
    </xdr:to>
    <xdr:sp macro="[0]!Arrondirunrectangleavecuncoindiagonal5_Cliquer" textlink="">
      <xdr:nvSpPr>
        <xdr:cNvPr id="6" name="Arrondir un rectangle avec un coin diagonal 5"/>
        <xdr:cNvSpPr/>
      </xdr:nvSpPr>
      <xdr:spPr>
        <a:xfrm>
          <a:off x="10001250" y="2933700"/>
          <a:ext cx="2124075" cy="466725"/>
        </a:xfrm>
        <a:prstGeom prst="round2DiagRect">
          <a:avLst/>
        </a:prstGeom>
        <a:solidFill>
          <a:schemeClr val="accent4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ECRITURE</a:t>
          </a:r>
          <a:r>
            <a:rPr lang="fr-FR" sz="14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COMPTABLE</a:t>
          </a:r>
          <a:endParaRPr lang="fr-FR" sz="105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2</xdr:col>
      <xdr:colOff>600075</xdr:colOff>
      <xdr:row>3</xdr:row>
      <xdr:rowOff>85725</xdr:rowOff>
    </xdr:to>
    <xdr:sp macro="[0]!Arrondirunrectangleavecuncoindiagonal1_Cliquer" textlink="">
      <xdr:nvSpPr>
        <xdr:cNvPr id="2" name="Arrondir un rectangle avec un coin diagonal 1"/>
        <xdr:cNvSpPr/>
      </xdr:nvSpPr>
      <xdr:spPr>
        <a:xfrm>
          <a:off x="0" y="190500"/>
          <a:ext cx="2124075" cy="466725"/>
        </a:xfrm>
        <a:prstGeom prst="round2DiagRect">
          <a:avLst/>
        </a:prstGeom>
        <a:solidFill>
          <a:schemeClr val="accent4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AJOUTER</a:t>
          </a:r>
          <a:endParaRPr lang="fr-FR" sz="11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9526</xdr:colOff>
      <xdr:row>4</xdr:row>
      <xdr:rowOff>19050</xdr:rowOff>
    </xdr:from>
    <xdr:to>
      <xdr:col>2</xdr:col>
      <xdr:colOff>609601</xdr:colOff>
      <xdr:row>6</xdr:row>
      <xdr:rowOff>104775</xdr:rowOff>
    </xdr:to>
    <xdr:sp macro="[0]!Arrondirunrectangleavecuncoindiagonal2_Cliquer" textlink="">
      <xdr:nvSpPr>
        <xdr:cNvPr id="3" name="Arrondir un rectangle avec un coin diagonal 2"/>
        <xdr:cNvSpPr/>
      </xdr:nvSpPr>
      <xdr:spPr>
        <a:xfrm>
          <a:off x="9526" y="781050"/>
          <a:ext cx="2124075" cy="466725"/>
        </a:xfrm>
        <a:prstGeom prst="round2DiagRect">
          <a:avLst/>
        </a:prstGeom>
        <a:solidFill>
          <a:schemeClr val="accent4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MENU</a:t>
          </a:r>
          <a:r>
            <a:rPr lang="fr-FR" sz="16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PRINCIPAL</a:t>
          </a:r>
          <a:endParaRPr lang="fr-FR" sz="11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</xdr:colOff>
      <xdr:row>7</xdr:row>
      <xdr:rowOff>28575</xdr:rowOff>
    </xdr:from>
    <xdr:to>
      <xdr:col>2</xdr:col>
      <xdr:colOff>600076</xdr:colOff>
      <xdr:row>9</xdr:row>
      <xdr:rowOff>114300</xdr:rowOff>
    </xdr:to>
    <xdr:sp macro="[0]!Arrondirunrectangleavecuncoindiagonal3_Cliquer" textlink="">
      <xdr:nvSpPr>
        <xdr:cNvPr id="4" name="Arrondir un rectangle avec un coin diagonal 3"/>
        <xdr:cNvSpPr/>
      </xdr:nvSpPr>
      <xdr:spPr>
        <a:xfrm>
          <a:off x="1" y="1362075"/>
          <a:ext cx="2124075" cy="466725"/>
        </a:xfrm>
        <a:prstGeom prst="round2DiagRect">
          <a:avLst/>
        </a:prstGeom>
        <a:solidFill>
          <a:schemeClr val="accent4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TABLEAU DE</a:t>
          </a:r>
          <a:r>
            <a:rPr lang="fr-FR" sz="16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BORD</a:t>
          </a:r>
          <a:endParaRPr lang="fr-FR" sz="11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</xdr:colOff>
      <xdr:row>10</xdr:row>
      <xdr:rowOff>47625</xdr:rowOff>
    </xdr:from>
    <xdr:to>
      <xdr:col>2</xdr:col>
      <xdr:colOff>600076</xdr:colOff>
      <xdr:row>12</xdr:row>
      <xdr:rowOff>133350</xdr:rowOff>
    </xdr:to>
    <xdr:sp macro="[0]!Feuil1.UserForm1" textlink="">
      <xdr:nvSpPr>
        <xdr:cNvPr id="5" name="Arrondir un rectangle avec un coin diagonal 4"/>
        <xdr:cNvSpPr/>
      </xdr:nvSpPr>
      <xdr:spPr>
        <a:xfrm>
          <a:off x="1" y="1952625"/>
          <a:ext cx="2124075" cy="466725"/>
        </a:xfrm>
        <a:prstGeom prst="round2DiagRect">
          <a:avLst/>
        </a:prstGeom>
        <a:solidFill>
          <a:schemeClr val="accent4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BULLETIN</a:t>
          </a:r>
          <a:r>
            <a:rPr lang="fr-FR" sz="16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SALAIRE</a:t>
          </a:r>
          <a:endParaRPr lang="fr-FR" sz="11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0</xdr:colOff>
      <xdr:row>13</xdr:row>
      <xdr:rowOff>47625</xdr:rowOff>
    </xdr:from>
    <xdr:to>
      <xdr:col>2</xdr:col>
      <xdr:colOff>600075</xdr:colOff>
      <xdr:row>15</xdr:row>
      <xdr:rowOff>133350</xdr:rowOff>
    </xdr:to>
    <xdr:sp macro="[0]!Tableaudebord_Arrondirunrectangleavecuncoindiagonal3_Cliquer" textlink="">
      <xdr:nvSpPr>
        <xdr:cNvPr id="7" name="Arrondir un rectangle avec un coin diagonal 6"/>
        <xdr:cNvSpPr/>
      </xdr:nvSpPr>
      <xdr:spPr>
        <a:xfrm>
          <a:off x="0" y="2524125"/>
          <a:ext cx="2124075" cy="466725"/>
        </a:xfrm>
        <a:prstGeom prst="round2DiagRect">
          <a:avLst/>
        </a:prstGeom>
        <a:solidFill>
          <a:schemeClr val="accent4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LIVRE DE PAIE</a:t>
          </a:r>
          <a:endParaRPr lang="fr-FR" sz="11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4:L25"/>
  <sheetViews>
    <sheetView topLeftCell="A2" workbookViewId="0">
      <selection activeCell="C11" sqref="C11"/>
    </sheetView>
  </sheetViews>
  <sheetFormatPr baseColWidth="10" defaultRowHeight="15" x14ac:dyDescent="0.25"/>
  <cols>
    <col min="1" max="2" width="11.42578125" style="51"/>
    <col min="3" max="3" width="13.28515625" style="51" customWidth="1"/>
    <col min="4" max="4" width="9.5703125" style="51" customWidth="1"/>
    <col min="5" max="16384" width="11.42578125" style="51"/>
  </cols>
  <sheetData>
    <row r="4" spans="4:12" ht="39" x14ac:dyDescent="0.6">
      <c r="D4" s="50" t="s">
        <v>60</v>
      </c>
    </row>
    <row r="8" spans="4:12" x14ac:dyDescent="0.25">
      <c r="E8" s="52"/>
      <c r="F8" s="52"/>
      <c r="G8" s="52"/>
      <c r="H8" s="52"/>
      <c r="I8" s="52"/>
      <c r="J8" s="52"/>
      <c r="K8" s="52"/>
      <c r="L8" s="52"/>
    </row>
    <row r="9" spans="4:12" x14ac:dyDescent="0.25">
      <c r="E9" s="52"/>
      <c r="F9" s="52"/>
      <c r="G9" s="52"/>
      <c r="H9" s="52"/>
      <c r="I9" s="52"/>
      <c r="J9" s="52"/>
      <c r="K9" s="52"/>
      <c r="L9" s="52"/>
    </row>
    <row r="10" spans="4:12" x14ac:dyDescent="0.25">
      <c r="E10" s="52"/>
      <c r="F10" s="52"/>
      <c r="G10" s="52"/>
      <c r="H10" s="52"/>
      <c r="I10" s="52"/>
      <c r="J10" s="52"/>
      <c r="K10" s="52"/>
      <c r="L10" s="52"/>
    </row>
    <row r="11" spans="4:12" x14ac:dyDescent="0.25">
      <c r="E11" s="52"/>
      <c r="F11" s="52"/>
      <c r="G11" s="52"/>
      <c r="H11" s="52"/>
      <c r="I11" s="52"/>
      <c r="J11" s="52"/>
      <c r="K11" s="52"/>
      <c r="L11" s="52"/>
    </row>
    <row r="12" spans="4:12" x14ac:dyDescent="0.25">
      <c r="E12" s="52"/>
      <c r="F12" s="52"/>
      <c r="G12" s="52"/>
      <c r="H12" s="52"/>
      <c r="I12" s="52"/>
      <c r="J12" s="52"/>
      <c r="K12" s="52"/>
      <c r="L12" s="52"/>
    </row>
    <row r="13" spans="4:12" x14ac:dyDescent="0.25">
      <c r="E13" s="52"/>
      <c r="F13" s="52"/>
      <c r="G13" s="52"/>
      <c r="H13" s="52"/>
      <c r="I13" s="52"/>
      <c r="J13" s="52"/>
      <c r="K13" s="52"/>
      <c r="L13" s="52"/>
    </row>
    <row r="14" spans="4:12" x14ac:dyDescent="0.25">
      <c r="E14" s="52"/>
      <c r="F14" s="52"/>
      <c r="G14" s="52"/>
      <c r="H14" s="52"/>
      <c r="I14" s="52"/>
      <c r="J14" s="52"/>
      <c r="K14" s="52"/>
      <c r="L14" s="52"/>
    </row>
    <row r="15" spans="4:12" x14ac:dyDescent="0.25">
      <c r="E15" s="52"/>
      <c r="F15" s="52"/>
      <c r="G15" s="52"/>
      <c r="H15" s="52"/>
      <c r="I15" s="52"/>
      <c r="J15" s="52"/>
      <c r="K15" s="52"/>
      <c r="L15" s="52"/>
    </row>
    <row r="16" spans="4:12" x14ac:dyDescent="0.25">
      <c r="E16" s="52"/>
      <c r="F16" s="52"/>
      <c r="G16" s="52"/>
      <c r="H16" s="52"/>
      <c r="I16" s="52"/>
      <c r="J16" s="52"/>
      <c r="K16" s="52"/>
      <c r="L16" s="52"/>
    </row>
    <row r="17" spans="1:12" x14ac:dyDescent="0.25">
      <c r="E17" s="52"/>
      <c r="F17" s="52"/>
      <c r="G17" s="52"/>
      <c r="H17" s="52"/>
      <c r="I17" s="52"/>
      <c r="J17" s="52"/>
      <c r="K17" s="52"/>
      <c r="L17" s="52"/>
    </row>
    <row r="21" spans="1:12" x14ac:dyDescent="0.25">
      <c r="A21" s="51" t="s">
        <v>61</v>
      </c>
    </row>
    <row r="22" spans="1:12" x14ac:dyDescent="0.25">
      <c r="A22" s="80" t="s">
        <v>161</v>
      </c>
    </row>
    <row r="23" spans="1:12" x14ac:dyDescent="0.25">
      <c r="A23" s="51" t="s">
        <v>162</v>
      </c>
    </row>
    <row r="24" spans="1:12" x14ac:dyDescent="0.25">
      <c r="A24" s="51" t="s">
        <v>163</v>
      </c>
    </row>
    <row r="25" spans="1:12" x14ac:dyDescent="0.25">
      <c r="A25" s="51" t="s">
        <v>62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H29"/>
  <sheetViews>
    <sheetView topLeftCell="A3" zoomScale="90" zoomScaleNormal="90" workbookViewId="0">
      <selection activeCell="J15" sqref="J15"/>
    </sheetView>
  </sheetViews>
  <sheetFormatPr baseColWidth="10" defaultRowHeight="15" x14ac:dyDescent="0.25"/>
  <cols>
    <col min="1" max="1" width="7.85546875" customWidth="1"/>
    <col min="2" max="2" width="23.140625" customWidth="1"/>
    <col min="3" max="3" width="22.7109375" customWidth="1"/>
    <col min="4" max="4" width="16" customWidth="1"/>
    <col min="5" max="5" width="17.5703125" customWidth="1"/>
  </cols>
  <sheetData>
    <row r="1" spans="1:34" ht="15.75" thickBot="1" x14ac:dyDescent="0.3">
      <c r="B1" s="1" t="s">
        <v>0</v>
      </c>
      <c r="C1" s="2" t="s">
        <v>1</v>
      </c>
      <c r="D1" s="2" t="s">
        <v>2</v>
      </c>
      <c r="E1" s="3"/>
    </row>
    <row r="2" spans="1:34" x14ac:dyDescent="0.25">
      <c r="B2" s="4" t="s">
        <v>45</v>
      </c>
      <c r="C2" s="5" t="s">
        <v>234</v>
      </c>
      <c r="D2" s="5" t="s">
        <v>65</v>
      </c>
      <c r="E2" s="6" t="s">
        <v>65</v>
      </c>
      <c r="F2" t="s">
        <v>65</v>
      </c>
      <c r="G2" t="s">
        <v>65</v>
      </c>
      <c r="H2" t="s">
        <v>65</v>
      </c>
      <c r="I2" t="s">
        <v>65</v>
      </c>
      <c r="J2" t="s">
        <v>65</v>
      </c>
      <c r="K2" t="s">
        <v>65</v>
      </c>
      <c r="L2" t="s">
        <v>65</v>
      </c>
      <c r="M2" t="s">
        <v>65</v>
      </c>
      <c r="N2" t="s">
        <v>65</v>
      </c>
      <c r="O2" t="s">
        <v>65</v>
      </c>
      <c r="P2" t="s">
        <v>65</v>
      </c>
      <c r="Q2" t="s">
        <v>65</v>
      </c>
      <c r="R2" t="s">
        <v>65</v>
      </c>
      <c r="S2">
        <v>0</v>
      </c>
      <c r="T2">
        <v>1300000</v>
      </c>
      <c r="U2" t="s">
        <v>65</v>
      </c>
      <c r="V2">
        <v>1320000</v>
      </c>
      <c r="W2">
        <v>20160</v>
      </c>
      <c r="X2">
        <v>25920</v>
      </c>
      <c r="Y2">
        <v>9600</v>
      </c>
      <c r="AA2" t="s">
        <v>65</v>
      </c>
      <c r="AB2">
        <v>6400</v>
      </c>
      <c r="AC2" t="s">
        <v>65</v>
      </c>
      <c r="AD2">
        <v>349955</v>
      </c>
      <c r="AE2">
        <v>950045</v>
      </c>
      <c r="AF2" t="s">
        <v>65</v>
      </c>
      <c r="AG2" t="s">
        <v>65</v>
      </c>
      <c r="AH2">
        <v>950045</v>
      </c>
    </row>
    <row r="3" spans="1:34" x14ac:dyDescent="0.25">
      <c r="B3" s="7" t="s">
        <v>3</v>
      </c>
      <c r="C3" s="8" t="s">
        <v>235</v>
      </c>
      <c r="D3" s="8"/>
      <c r="E3" s="9"/>
    </row>
    <row r="4" spans="1:34" x14ac:dyDescent="0.25">
      <c r="A4" t="s">
        <v>65</v>
      </c>
      <c r="B4" s="10" t="s">
        <v>47</v>
      </c>
      <c r="C4" s="11" t="s">
        <v>236</v>
      </c>
      <c r="D4" s="11"/>
      <c r="E4" s="12"/>
    </row>
    <row r="5" spans="1:34" x14ac:dyDescent="0.25">
      <c r="B5" s="7" t="s">
        <v>4</v>
      </c>
      <c r="C5" s="53" t="s">
        <v>237</v>
      </c>
      <c r="D5" s="8" t="s">
        <v>63</v>
      </c>
      <c r="E5" s="9" t="s">
        <v>238</v>
      </c>
    </row>
    <row r="6" spans="1:34" ht="15.75" thickBot="1" x14ac:dyDescent="0.3">
      <c r="B6" s="10" t="s">
        <v>31</v>
      </c>
      <c r="C6" s="11" t="s">
        <v>70</v>
      </c>
      <c r="D6" s="81" t="s">
        <v>5</v>
      </c>
      <c r="E6" s="12" t="s">
        <v>73</v>
      </c>
    </row>
    <row r="7" spans="1:34" ht="15.75" thickBot="1" x14ac:dyDescent="0.3">
      <c r="B7" s="10" t="s">
        <v>32</v>
      </c>
      <c r="C7" s="8">
        <v>0</v>
      </c>
      <c r="D7" s="34" t="s">
        <v>7</v>
      </c>
      <c r="E7" s="9">
        <v>0</v>
      </c>
    </row>
    <row r="8" spans="1:34" x14ac:dyDescent="0.25">
      <c r="B8" s="10" t="s">
        <v>8</v>
      </c>
      <c r="C8" s="11" t="s">
        <v>64</v>
      </c>
      <c r="D8" s="82"/>
      <c r="E8" s="12"/>
    </row>
    <row r="9" spans="1:34" x14ac:dyDescent="0.25">
      <c r="B9" s="13" t="s">
        <v>9</v>
      </c>
      <c r="C9" s="14"/>
      <c r="D9" s="15"/>
      <c r="E9" s="15">
        <v>1000000</v>
      </c>
    </row>
    <row r="10" spans="1:34" x14ac:dyDescent="0.25">
      <c r="B10" s="16" t="s">
        <v>10</v>
      </c>
      <c r="C10" s="11"/>
      <c r="D10" s="17"/>
      <c r="E10" s="17">
        <v>609000</v>
      </c>
    </row>
    <row r="11" spans="1:34" x14ac:dyDescent="0.25">
      <c r="B11" s="18" t="s">
        <v>11</v>
      </c>
      <c r="C11" s="8"/>
      <c r="D11" s="19"/>
      <c r="E11" s="19">
        <v>0</v>
      </c>
    </row>
    <row r="12" spans="1:34" x14ac:dyDescent="0.25">
      <c r="B12" s="16" t="s">
        <v>12</v>
      </c>
      <c r="C12" s="11"/>
      <c r="D12" s="17"/>
      <c r="E12" s="17">
        <v>0</v>
      </c>
    </row>
    <row r="13" spans="1:34" x14ac:dyDescent="0.25">
      <c r="B13" s="18" t="s">
        <v>13</v>
      </c>
      <c r="C13" s="8"/>
      <c r="D13" s="19"/>
      <c r="E13" s="19">
        <v>0</v>
      </c>
    </row>
    <row r="14" spans="1:34" x14ac:dyDescent="0.25">
      <c r="B14" s="16" t="s">
        <v>14</v>
      </c>
      <c r="C14" s="11"/>
      <c r="D14" s="17"/>
      <c r="E14" s="17">
        <v>0</v>
      </c>
    </row>
    <row r="15" spans="1:34" x14ac:dyDescent="0.25">
      <c r="B15" s="20" t="s">
        <v>15</v>
      </c>
      <c r="C15" s="21"/>
      <c r="D15" s="22"/>
      <c r="E15" s="22">
        <v>30000</v>
      </c>
    </row>
    <row r="16" spans="1:34" x14ac:dyDescent="0.25">
      <c r="B16" s="16" t="s">
        <v>16</v>
      </c>
      <c r="C16" s="11"/>
      <c r="D16" s="17"/>
      <c r="E16" s="17">
        <v>1639000</v>
      </c>
    </row>
    <row r="17" spans="2:5" x14ac:dyDescent="0.25">
      <c r="B17" s="18" t="s">
        <v>17</v>
      </c>
      <c r="C17" s="8"/>
      <c r="D17" s="19"/>
      <c r="E17" s="19">
        <v>100000</v>
      </c>
    </row>
    <row r="18" spans="2:5" ht="15.75" thickBot="1" x14ac:dyDescent="0.3">
      <c r="B18" s="23" t="s">
        <v>18</v>
      </c>
      <c r="C18" s="24"/>
      <c r="D18" s="25">
        <v>1739000</v>
      </c>
      <c r="E18" s="25">
        <v>1739000</v>
      </c>
    </row>
    <row r="19" spans="2:5" x14ac:dyDescent="0.25">
      <c r="B19" s="20"/>
      <c r="C19" s="18" t="s">
        <v>19</v>
      </c>
      <c r="D19" s="19">
        <v>20160</v>
      </c>
      <c r="E19" s="19"/>
    </row>
    <row r="20" spans="2:5" x14ac:dyDescent="0.25">
      <c r="B20" s="26"/>
      <c r="C20" s="16" t="s">
        <v>20</v>
      </c>
      <c r="D20" s="17">
        <v>25920</v>
      </c>
      <c r="E20" s="27"/>
    </row>
    <row r="21" spans="2:5" x14ac:dyDescent="0.25">
      <c r="B21" s="20"/>
      <c r="C21" s="18" t="s">
        <v>21</v>
      </c>
      <c r="D21" s="19">
        <v>2000</v>
      </c>
      <c r="E21" s="19"/>
    </row>
    <row r="22" spans="2:5" x14ac:dyDescent="0.25">
      <c r="B22" s="26" t="s">
        <v>22</v>
      </c>
      <c r="C22" s="16" t="s">
        <v>23</v>
      </c>
      <c r="D22" s="27">
        <v>4800</v>
      </c>
      <c r="E22" s="17"/>
    </row>
    <row r="23" spans="2:5" x14ac:dyDescent="0.25">
      <c r="B23" s="20"/>
      <c r="C23" s="18" t="s">
        <v>24</v>
      </c>
      <c r="D23" s="19">
        <v>578850</v>
      </c>
      <c r="E23" s="19"/>
    </row>
    <row r="24" spans="2:5" x14ac:dyDescent="0.25">
      <c r="B24" s="26"/>
      <c r="C24" s="16" t="s">
        <v>25</v>
      </c>
      <c r="D24" s="17">
        <v>30000</v>
      </c>
      <c r="E24" s="17"/>
    </row>
    <row r="25" spans="2:5" ht="15.75" thickBot="1" x14ac:dyDescent="0.3">
      <c r="B25" s="28"/>
      <c r="C25" s="21" t="s">
        <v>26</v>
      </c>
      <c r="D25" s="19">
        <v>90000</v>
      </c>
      <c r="E25" s="19"/>
    </row>
    <row r="26" spans="2:5" ht="15.75" thickBot="1" x14ac:dyDescent="0.3">
      <c r="B26" s="29" t="s">
        <v>27</v>
      </c>
      <c r="C26" s="30"/>
      <c r="D26" s="31">
        <v>751730</v>
      </c>
      <c r="E26" s="31">
        <v>751730</v>
      </c>
    </row>
    <row r="27" spans="2:5" ht="15.75" thickBot="1" x14ac:dyDescent="0.3">
      <c r="B27" s="32" t="s">
        <v>28</v>
      </c>
      <c r="C27" s="33"/>
      <c r="D27" s="34"/>
      <c r="E27" s="34">
        <v>887270</v>
      </c>
    </row>
    <row r="28" spans="2:5" ht="15.75" thickBot="1" x14ac:dyDescent="0.3">
      <c r="B28" s="26" t="s">
        <v>29</v>
      </c>
      <c r="C28" s="24"/>
      <c r="D28" s="25"/>
      <c r="E28" s="25">
        <v>100000</v>
      </c>
    </row>
    <row r="29" spans="2:5" ht="15.75" thickBot="1" x14ac:dyDescent="0.3">
      <c r="B29" s="35" t="s">
        <v>30</v>
      </c>
      <c r="C29" s="36"/>
      <c r="D29" s="34"/>
      <c r="E29" s="34">
        <v>987270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V47"/>
  <sheetViews>
    <sheetView tabSelected="1" topLeftCell="A29" workbookViewId="0">
      <selection activeCell="A36" sqref="A36"/>
    </sheetView>
  </sheetViews>
  <sheetFormatPr baseColWidth="10" defaultRowHeight="15" x14ac:dyDescent="0.25"/>
  <cols>
    <col min="1" max="1" width="6.140625" customWidth="1"/>
    <col min="2" max="2" width="8.5703125" customWidth="1"/>
    <col min="7" max="7" width="7.42578125" customWidth="1"/>
    <col min="8" max="8" width="8.42578125" customWidth="1"/>
    <col min="9" max="9" width="7.85546875" customWidth="1"/>
    <col min="10" max="10" width="7.5703125" customWidth="1"/>
    <col min="11" max="11" width="5.42578125" customWidth="1"/>
    <col min="12" max="12" width="10.5703125" customWidth="1"/>
  </cols>
  <sheetData>
    <row r="1" spans="1:22" s="77" customFormat="1" ht="15.75" x14ac:dyDescent="0.25">
      <c r="A1" s="76" t="s">
        <v>44</v>
      </c>
      <c r="B1" s="76" t="s">
        <v>45</v>
      </c>
      <c r="C1" s="76" t="s">
        <v>46</v>
      </c>
      <c r="D1" s="76" t="s">
        <v>47</v>
      </c>
      <c r="E1" s="76" t="s">
        <v>48</v>
      </c>
      <c r="F1" s="76" t="s">
        <v>49</v>
      </c>
      <c r="G1" s="76" t="s">
        <v>6</v>
      </c>
      <c r="H1" s="76" t="s">
        <v>50</v>
      </c>
      <c r="I1" s="76" t="s">
        <v>51</v>
      </c>
      <c r="J1" s="76" t="s">
        <v>52</v>
      </c>
      <c r="K1" s="76" t="s">
        <v>53</v>
      </c>
      <c r="L1" s="76" t="s">
        <v>10</v>
      </c>
      <c r="M1" s="76" t="s">
        <v>54</v>
      </c>
      <c r="N1" s="76" t="s">
        <v>55</v>
      </c>
      <c r="O1" s="76" t="s">
        <v>56</v>
      </c>
      <c r="P1" s="76" t="s">
        <v>57</v>
      </c>
      <c r="Q1" s="76" t="s">
        <v>90</v>
      </c>
      <c r="R1" s="76" t="s">
        <v>58</v>
      </c>
      <c r="S1" s="76" t="s">
        <v>91</v>
      </c>
      <c r="T1" s="76" t="s">
        <v>37</v>
      </c>
      <c r="U1" s="76" t="s">
        <v>92</v>
      </c>
      <c r="V1" s="76" t="s">
        <v>93</v>
      </c>
    </row>
    <row r="2" spans="1:22" x14ac:dyDescent="0.25">
      <c r="A2" s="37">
        <v>1</v>
      </c>
      <c r="B2" s="37" t="s">
        <v>112</v>
      </c>
      <c r="C2" s="37" t="s">
        <v>94</v>
      </c>
      <c r="D2" s="37" t="s">
        <v>72</v>
      </c>
      <c r="E2" s="54">
        <v>30568</v>
      </c>
      <c r="F2" s="37" t="s">
        <v>95</v>
      </c>
      <c r="G2" s="37" t="s">
        <v>66</v>
      </c>
      <c r="H2" s="37" t="s">
        <v>69</v>
      </c>
      <c r="I2" s="37">
        <v>1</v>
      </c>
      <c r="J2" s="37">
        <v>3</v>
      </c>
      <c r="K2" s="37" t="s">
        <v>96</v>
      </c>
      <c r="L2" s="37">
        <v>0</v>
      </c>
      <c r="M2" s="37">
        <v>0</v>
      </c>
      <c r="N2" s="37">
        <v>0</v>
      </c>
      <c r="O2" s="37">
        <v>0</v>
      </c>
      <c r="P2" s="37">
        <v>4</v>
      </c>
      <c r="Q2" s="37">
        <v>0</v>
      </c>
      <c r="R2" s="37">
        <v>0</v>
      </c>
      <c r="S2" s="37">
        <v>1750000</v>
      </c>
      <c r="T2" s="37">
        <v>7200</v>
      </c>
      <c r="U2" s="37">
        <v>25000</v>
      </c>
      <c r="V2" s="37">
        <v>0</v>
      </c>
    </row>
    <row r="3" spans="1:22" x14ac:dyDescent="0.25">
      <c r="A3" s="37">
        <v>2</v>
      </c>
      <c r="B3" s="37" t="s">
        <v>97</v>
      </c>
      <c r="C3" s="37" t="s">
        <v>98</v>
      </c>
      <c r="D3" s="37" t="s">
        <v>99</v>
      </c>
      <c r="E3" s="54" t="s">
        <v>100</v>
      </c>
      <c r="F3" s="37" t="s">
        <v>101</v>
      </c>
      <c r="G3" s="37" t="s">
        <v>66</v>
      </c>
      <c r="H3" s="37" t="s">
        <v>73</v>
      </c>
      <c r="I3" s="37">
        <v>0</v>
      </c>
      <c r="J3" s="37">
        <v>0</v>
      </c>
      <c r="K3" s="37" t="s">
        <v>96</v>
      </c>
      <c r="L3" s="37">
        <v>0</v>
      </c>
      <c r="M3" s="37">
        <v>8</v>
      </c>
      <c r="N3" s="37">
        <v>4</v>
      </c>
      <c r="O3" s="37">
        <v>0</v>
      </c>
      <c r="P3" s="37">
        <v>3</v>
      </c>
      <c r="Q3" s="37">
        <v>15000</v>
      </c>
      <c r="R3" s="37">
        <v>0</v>
      </c>
      <c r="S3" s="37">
        <v>12500</v>
      </c>
      <c r="T3" s="37"/>
      <c r="U3" s="37">
        <v>0</v>
      </c>
      <c r="V3" s="37">
        <v>0</v>
      </c>
    </row>
    <row r="4" spans="1:22" x14ac:dyDescent="0.25">
      <c r="A4" s="37">
        <v>3</v>
      </c>
      <c r="B4" s="37" t="s">
        <v>102</v>
      </c>
      <c r="C4" s="37" t="s">
        <v>103</v>
      </c>
      <c r="D4" s="37" t="s">
        <v>104</v>
      </c>
      <c r="E4" s="54" t="s">
        <v>105</v>
      </c>
      <c r="F4" s="37" t="s">
        <v>106</v>
      </c>
      <c r="G4" s="37" t="s">
        <v>66</v>
      </c>
      <c r="H4" s="37" t="s">
        <v>69</v>
      </c>
      <c r="I4" s="37">
        <v>2</v>
      </c>
      <c r="J4" s="37">
        <v>6</v>
      </c>
      <c r="K4" s="37" t="s">
        <v>96</v>
      </c>
      <c r="L4" s="37">
        <v>0</v>
      </c>
      <c r="M4" s="37">
        <v>0</v>
      </c>
      <c r="N4" s="37">
        <v>0</v>
      </c>
      <c r="O4" s="37">
        <v>6</v>
      </c>
      <c r="P4" s="37">
        <v>2</v>
      </c>
      <c r="Q4" s="37">
        <v>0</v>
      </c>
      <c r="R4" s="37">
        <v>0</v>
      </c>
      <c r="S4" s="37">
        <v>20000</v>
      </c>
      <c r="T4" s="37">
        <v>12600</v>
      </c>
      <c r="U4" s="37">
        <v>0</v>
      </c>
      <c r="V4" s="37">
        <v>0</v>
      </c>
    </row>
    <row r="5" spans="1:22" x14ac:dyDescent="0.25">
      <c r="A5" s="37">
        <v>4</v>
      </c>
      <c r="B5" s="37" t="s">
        <v>107</v>
      </c>
      <c r="C5" s="37" t="s">
        <v>108</v>
      </c>
      <c r="D5" s="37" t="s">
        <v>109</v>
      </c>
      <c r="E5" s="37" t="s">
        <v>110</v>
      </c>
      <c r="F5" s="37" t="s">
        <v>111</v>
      </c>
      <c r="G5" s="37" t="s">
        <v>66</v>
      </c>
      <c r="H5" s="37" t="s">
        <v>69</v>
      </c>
      <c r="I5" s="37">
        <v>1</v>
      </c>
      <c r="J5" s="37">
        <v>1</v>
      </c>
      <c r="K5" s="37" t="s">
        <v>71</v>
      </c>
      <c r="L5" s="37">
        <v>0</v>
      </c>
      <c r="M5" s="37">
        <v>8</v>
      </c>
      <c r="N5" s="37">
        <v>4</v>
      </c>
      <c r="O5" s="37">
        <v>0</v>
      </c>
      <c r="P5" s="37">
        <v>0</v>
      </c>
      <c r="Q5" s="37">
        <v>10000</v>
      </c>
      <c r="R5" s="37">
        <v>0</v>
      </c>
      <c r="S5" s="37">
        <v>0</v>
      </c>
      <c r="T5" s="37">
        <v>0</v>
      </c>
      <c r="U5" s="37">
        <v>0</v>
      </c>
      <c r="V5" s="37">
        <v>0</v>
      </c>
    </row>
    <row r="6" spans="1:22" x14ac:dyDescent="0.25">
      <c r="A6" s="37">
        <v>5</v>
      </c>
      <c r="B6" s="37" t="s">
        <v>129</v>
      </c>
      <c r="C6" s="37" t="s">
        <v>113</v>
      </c>
      <c r="D6" s="37" t="s">
        <v>114</v>
      </c>
      <c r="E6" s="37" t="s">
        <v>115</v>
      </c>
      <c r="F6" s="37" t="s">
        <v>116</v>
      </c>
      <c r="G6" s="37" t="s">
        <v>66</v>
      </c>
      <c r="H6" s="37" t="s">
        <v>73</v>
      </c>
      <c r="I6" s="37">
        <v>0</v>
      </c>
      <c r="J6" s="37">
        <v>1</v>
      </c>
      <c r="K6" s="37" t="s">
        <v>71</v>
      </c>
      <c r="L6" s="37">
        <v>15000</v>
      </c>
      <c r="M6" s="37">
        <v>8</v>
      </c>
      <c r="N6" s="37">
        <v>4</v>
      </c>
      <c r="O6" s="37">
        <v>4</v>
      </c>
      <c r="P6" s="37">
        <v>2</v>
      </c>
      <c r="Q6" s="37">
        <v>0</v>
      </c>
      <c r="R6" s="37">
        <v>35000</v>
      </c>
      <c r="S6" s="37">
        <v>0</v>
      </c>
      <c r="T6" s="37">
        <v>3500</v>
      </c>
      <c r="U6" s="37">
        <v>30000</v>
      </c>
      <c r="V6" s="37">
        <v>20000</v>
      </c>
    </row>
    <row r="7" spans="1:22" x14ac:dyDescent="0.25">
      <c r="A7" s="37">
        <v>6</v>
      </c>
      <c r="B7" s="37" t="s">
        <v>128</v>
      </c>
      <c r="C7" s="37" t="s">
        <v>117</v>
      </c>
      <c r="D7" s="37" t="s">
        <v>118</v>
      </c>
      <c r="E7" s="54">
        <v>29138</v>
      </c>
      <c r="F7" s="37" t="s">
        <v>119</v>
      </c>
      <c r="G7" s="37" t="s">
        <v>70</v>
      </c>
      <c r="H7" s="37" t="s">
        <v>73</v>
      </c>
      <c r="I7" s="37">
        <v>0</v>
      </c>
      <c r="J7" s="37">
        <v>0</v>
      </c>
      <c r="K7" s="37" t="s">
        <v>71</v>
      </c>
      <c r="L7" s="37">
        <v>0</v>
      </c>
      <c r="M7" s="37">
        <v>0</v>
      </c>
      <c r="N7" s="37">
        <v>0</v>
      </c>
      <c r="O7" s="37">
        <v>0</v>
      </c>
      <c r="P7" s="37">
        <v>0</v>
      </c>
      <c r="Q7" s="37">
        <v>0</v>
      </c>
      <c r="R7" s="37">
        <v>0</v>
      </c>
      <c r="S7" s="37">
        <v>0</v>
      </c>
      <c r="T7" s="37"/>
      <c r="U7" s="37">
        <v>0</v>
      </c>
      <c r="V7" s="37">
        <v>0</v>
      </c>
    </row>
    <row r="8" spans="1:22" x14ac:dyDescent="0.25">
      <c r="A8" s="37">
        <v>7</v>
      </c>
      <c r="B8" s="37" t="s">
        <v>130</v>
      </c>
      <c r="C8" s="37" t="s">
        <v>120</v>
      </c>
      <c r="D8" s="37" t="s">
        <v>121</v>
      </c>
      <c r="E8" s="37" t="s">
        <v>122</v>
      </c>
      <c r="F8" s="37" t="s">
        <v>123</v>
      </c>
      <c r="G8" s="37" t="s">
        <v>70</v>
      </c>
      <c r="H8" s="37" t="s">
        <v>69</v>
      </c>
      <c r="I8" s="37">
        <v>0</v>
      </c>
      <c r="J8" s="37">
        <v>4</v>
      </c>
      <c r="K8" s="37" t="s">
        <v>64</v>
      </c>
      <c r="L8" s="37">
        <v>0</v>
      </c>
      <c r="M8" s="37">
        <v>0</v>
      </c>
      <c r="N8" s="37">
        <v>0</v>
      </c>
      <c r="O8" s="37">
        <v>0</v>
      </c>
      <c r="P8" s="37">
        <v>0</v>
      </c>
      <c r="Q8" s="37">
        <v>10000</v>
      </c>
      <c r="R8" s="37">
        <v>60000</v>
      </c>
      <c r="S8" s="37">
        <v>0</v>
      </c>
      <c r="T8" s="37">
        <v>0</v>
      </c>
      <c r="U8" s="37">
        <v>0</v>
      </c>
      <c r="V8" s="37">
        <v>0</v>
      </c>
    </row>
    <row r="9" spans="1:22" x14ac:dyDescent="0.25">
      <c r="A9" s="37">
        <v>8</v>
      </c>
      <c r="B9" s="37" t="s">
        <v>131</v>
      </c>
      <c r="C9" s="37" t="s">
        <v>125</v>
      </c>
      <c r="D9" s="37" t="s">
        <v>126</v>
      </c>
      <c r="E9" s="37" t="s">
        <v>127</v>
      </c>
      <c r="F9" s="37" t="s">
        <v>95</v>
      </c>
      <c r="G9" s="37" t="s">
        <v>70</v>
      </c>
      <c r="H9" s="37" t="s">
        <v>73</v>
      </c>
      <c r="I9" s="37">
        <v>0</v>
      </c>
      <c r="J9" s="37">
        <v>0</v>
      </c>
      <c r="K9" s="37" t="s">
        <v>71</v>
      </c>
      <c r="L9" s="37">
        <v>0</v>
      </c>
      <c r="M9" s="37">
        <v>0</v>
      </c>
      <c r="N9" s="37">
        <v>0</v>
      </c>
      <c r="O9" s="37">
        <v>0</v>
      </c>
      <c r="P9" s="37">
        <v>0</v>
      </c>
      <c r="Q9" s="37">
        <v>0</v>
      </c>
      <c r="R9" s="37">
        <v>0</v>
      </c>
      <c r="S9" s="37">
        <v>0</v>
      </c>
      <c r="T9" s="37"/>
      <c r="U9" s="37">
        <v>0</v>
      </c>
      <c r="V9" s="37">
        <v>0</v>
      </c>
    </row>
    <row r="10" spans="1:22" x14ac:dyDescent="0.25">
      <c r="A10" s="37">
        <v>9</v>
      </c>
      <c r="B10" s="37" t="s">
        <v>124</v>
      </c>
      <c r="C10" s="37" t="s">
        <v>132</v>
      </c>
      <c r="D10" s="37" t="s">
        <v>126</v>
      </c>
      <c r="E10" s="54">
        <v>29260</v>
      </c>
      <c r="F10" s="37" t="s">
        <v>123</v>
      </c>
      <c r="G10" s="37" t="s">
        <v>66</v>
      </c>
      <c r="H10" s="37" t="s">
        <v>69</v>
      </c>
      <c r="I10" s="37">
        <v>3</v>
      </c>
      <c r="J10" s="37">
        <v>8</v>
      </c>
      <c r="K10" s="37" t="s">
        <v>64</v>
      </c>
      <c r="L10" s="37">
        <v>0</v>
      </c>
      <c r="M10" s="37">
        <v>0</v>
      </c>
      <c r="N10" s="37">
        <v>0</v>
      </c>
      <c r="O10" s="37">
        <v>0</v>
      </c>
      <c r="P10" s="37">
        <v>0</v>
      </c>
      <c r="Q10" s="37">
        <v>0</v>
      </c>
      <c r="R10" s="37">
        <v>37500</v>
      </c>
      <c r="S10" s="37">
        <v>0</v>
      </c>
      <c r="T10" s="37">
        <v>1600</v>
      </c>
      <c r="U10" s="37">
        <v>55000</v>
      </c>
      <c r="V10" s="37">
        <v>0</v>
      </c>
    </row>
    <row r="11" spans="1:22" x14ac:dyDescent="0.25">
      <c r="A11" s="37">
        <v>10</v>
      </c>
      <c r="B11" s="37" t="s">
        <v>133</v>
      </c>
      <c r="C11" s="37" t="s">
        <v>134</v>
      </c>
      <c r="D11" s="37" t="s">
        <v>135</v>
      </c>
      <c r="E11" s="54">
        <v>27977</v>
      </c>
      <c r="F11" s="37" t="s">
        <v>136</v>
      </c>
      <c r="G11" s="37" t="s">
        <v>66</v>
      </c>
      <c r="H11" s="37" t="s">
        <v>73</v>
      </c>
      <c r="I11" s="37">
        <v>0</v>
      </c>
      <c r="J11" s="37">
        <v>0</v>
      </c>
      <c r="K11" s="37" t="s">
        <v>64</v>
      </c>
      <c r="L11" s="37">
        <v>0</v>
      </c>
      <c r="M11" s="37">
        <v>0</v>
      </c>
      <c r="N11" s="37">
        <v>0</v>
      </c>
      <c r="O11" s="37">
        <v>0</v>
      </c>
      <c r="P11" s="37">
        <v>0</v>
      </c>
      <c r="Q11" s="37">
        <v>0</v>
      </c>
      <c r="R11" s="37">
        <v>50000</v>
      </c>
      <c r="S11" s="37">
        <v>0</v>
      </c>
      <c r="T11" s="37"/>
      <c r="U11" s="37">
        <v>0</v>
      </c>
      <c r="V11" s="37">
        <v>0</v>
      </c>
    </row>
    <row r="12" spans="1:22" x14ac:dyDescent="0.25">
      <c r="A12" s="37">
        <v>11</v>
      </c>
      <c r="B12" s="37" t="s">
        <v>137</v>
      </c>
      <c r="C12" s="37" t="s">
        <v>138</v>
      </c>
      <c r="D12" s="37" t="s">
        <v>139</v>
      </c>
      <c r="E12" s="37" t="s">
        <v>140</v>
      </c>
      <c r="F12" s="37" t="s">
        <v>141</v>
      </c>
      <c r="G12" s="37" t="s">
        <v>70</v>
      </c>
      <c r="H12" s="37" t="s">
        <v>73</v>
      </c>
      <c r="I12" s="37">
        <v>0</v>
      </c>
      <c r="J12" s="37">
        <v>0</v>
      </c>
      <c r="K12" s="37" t="s">
        <v>96</v>
      </c>
      <c r="L12" s="37">
        <v>0</v>
      </c>
      <c r="M12" s="37">
        <v>8</v>
      </c>
      <c r="N12" s="37">
        <v>0</v>
      </c>
      <c r="O12" s="37">
        <v>3</v>
      </c>
      <c r="P12" s="37">
        <v>2</v>
      </c>
      <c r="Q12" s="37">
        <v>0</v>
      </c>
      <c r="R12" s="37">
        <v>0</v>
      </c>
      <c r="S12" s="37">
        <v>25000</v>
      </c>
      <c r="T12" s="37"/>
      <c r="U12" s="37">
        <v>0</v>
      </c>
      <c r="V12" s="37">
        <v>0</v>
      </c>
    </row>
    <row r="13" spans="1:22" x14ac:dyDescent="0.25">
      <c r="A13" s="37">
        <v>12</v>
      </c>
      <c r="B13" s="37" t="s">
        <v>142</v>
      </c>
      <c r="C13" s="37" t="s">
        <v>143</v>
      </c>
      <c r="D13" s="37" t="s">
        <v>144</v>
      </c>
      <c r="E13" s="37" t="s">
        <v>145</v>
      </c>
      <c r="F13" s="37" t="s">
        <v>146</v>
      </c>
      <c r="G13" s="37" t="s">
        <v>66</v>
      </c>
      <c r="H13" s="37" t="s">
        <v>73</v>
      </c>
      <c r="I13" s="37">
        <v>0</v>
      </c>
      <c r="J13" s="37">
        <v>0</v>
      </c>
      <c r="K13" s="37" t="s">
        <v>96</v>
      </c>
      <c r="L13" s="37">
        <v>0</v>
      </c>
      <c r="M13" s="37">
        <v>0</v>
      </c>
      <c r="N13" s="37">
        <v>0</v>
      </c>
      <c r="O13" s="37">
        <v>2</v>
      </c>
      <c r="P13" s="37">
        <v>0</v>
      </c>
      <c r="Q13" s="37">
        <v>0</v>
      </c>
      <c r="R13" s="37">
        <v>0</v>
      </c>
      <c r="S13" s="37">
        <v>0</v>
      </c>
      <c r="T13" s="37"/>
      <c r="U13" s="37">
        <v>175000</v>
      </c>
      <c r="V13" s="37">
        <v>0</v>
      </c>
    </row>
    <row r="14" spans="1:22" x14ac:dyDescent="0.25">
      <c r="A14" s="37">
        <v>13</v>
      </c>
      <c r="B14" s="37" t="s">
        <v>147</v>
      </c>
      <c r="C14" s="37" t="s">
        <v>74</v>
      </c>
      <c r="D14" s="37" t="s">
        <v>148</v>
      </c>
      <c r="E14" s="37" t="s">
        <v>149</v>
      </c>
      <c r="F14" s="37" t="s">
        <v>150</v>
      </c>
      <c r="G14" s="37" t="s">
        <v>70</v>
      </c>
      <c r="H14" s="37" t="s">
        <v>73</v>
      </c>
      <c r="I14" s="37">
        <v>0</v>
      </c>
      <c r="J14" s="37">
        <v>1</v>
      </c>
      <c r="K14" s="37" t="s">
        <v>96</v>
      </c>
      <c r="L14" s="37">
        <v>0</v>
      </c>
      <c r="M14" s="37">
        <v>8</v>
      </c>
      <c r="N14" s="37">
        <v>5</v>
      </c>
      <c r="O14" s="37">
        <v>3</v>
      </c>
      <c r="P14" s="37">
        <v>3</v>
      </c>
      <c r="Q14" s="37">
        <v>0</v>
      </c>
      <c r="R14" s="37">
        <v>0</v>
      </c>
      <c r="S14" s="37">
        <v>17000</v>
      </c>
      <c r="T14" s="37"/>
      <c r="U14" s="37">
        <v>0</v>
      </c>
      <c r="V14" s="37">
        <v>15000</v>
      </c>
    </row>
    <row r="15" spans="1:22" x14ac:dyDescent="0.25">
      <c r="A15" s="37">
        <v>14</v>
      </c>
      <c r="B15" s="37" t="s">
        <v>151</v>
      </c>
      <c r="C15" s="37" t="s">
        <v>67</v>
      </c>
      <c r="D15" s="37" t="s">
        <v>152</v>
      </c>
      <c r="E15" s="37" t="s">
        <v>153</v>
      </c>
      <c r="F15" s="37" t="s">
        <v>154</v>
      </c>
      <c r="G15" s="37" t="s">
        <v>66</v>
      </c>
      <c r="H15" s="37" t="s">
        <v>73</v>
      </c>
      <c r="I15" s="37">
        <v>0</v>
      </c>
      <c r="J15" s="37">
        <v>0</v>
      </c>
      <c r="K15" s="37" t="s">
        <v>71</v>
      </c>
      <c r="L15" s="37">
        <v>0</v>
      </c>
      <c r="M15" s="37">
        <v>0</v>
      </c>
      <c r="N15" s="37">
        <v>0</v>
      </c>
      <c r="O15" s="37">
        <v>0</v>
      </c>
      <c r="P15" s="37">
        <v>0</v>
      </c>
      <c r="Q15" s="37">
        <v>0</v>
      </c>
      <c r="R15" s="37">
        <v>0</v>
      </c>
      <c r="S15" s="37">
        <v>0</v>
      </c>
      <c r="T15" s="37"/>
      <c r="U15" s="37">
        <v>0</v>
      </c>
      <c r="V15" s="37">
        <v>0</v>
      </c>
    </row>
    <row r="16" spans="1:22" x14ac:dyDescent="0.25">
      <c r="A16" s="37">
        <v>15</v>
      </c>
      <c r="B16" s="37" t="s">
        <v>155</v>
      </c>
      <c r="C16" s="37" t="s">
        <v>156</v>
      </c>
      <c r="D16" s="37" t="s">
        <v>72</v>
      </c>
      <c r="E16" s="54">
        <v>34759</v>
      </c>
      <c r="F16" s="37" t="s">
        <v>157</v>
      </c>
      <c r="G16" s="37" t="s">
        <v>66</v>
      </c>
      <c r="H16" s="37" t="s">
        <v>73</v>
      </c>
      <c r="I16" s="37">
        <v>0</v>
      </c>
      <c r="J16" s="37">
        <v>0</v>
      </c>
      <c r="K16" s="37" t="s">
        <v>64</v>
      </c>
      <c r="L16" s="37">
        <v>200000</v>
      </c>
      <c r="M16" s="37">
        <v>3</v>
      </c>
      <c r="N16" s="37">
        <v>7</v>
      </c>
      <c r="O16" s="37">
        <v>9</v>
      </c>
      <c r="P16" s="37">
        <v>2</v>
      </c>
      <c r="Q16" s="37">
        <v>120000</v>
      </c>
      <c r="R16" s="37">
        <v>40000</v>
      </c>
      <c r="S16" s="37">
        <v>10000</v>
      </c>
      <c r="T16" s="37"/>
      <c r="U16" s="37">
        <v>22000</v>
      </c>
      <c r="V16" s="37">
        <v>15000</v>
      </c>
    </row>
    <row r="17" spans="1:22" x14ac:dyDescent="0.25">
      <c r="A17" s="37">
        <v>16</v>
      </c>
      <c r="B17" s="37" t="s">
        <v>158</v>
      </c>
      <c r="C17" s="37" t="s">
        <v>159</v>
      </c>
      <c r="D17" s="37" t="s">
        <v>152</v>
      </c>
      <c r="E17" s="37" t="s">
        <v>160</v>
      </c>
      <c r="F17" s="37" t="s">
        <v>154</v>
      </c>
      <c r="G17" s="37" t="s">
        <v>66</v>
      </c>
      <c r="H17" s="37" t="s">
        <v>73</v>
      </c>
      <c r="I17" s="37">
        <v>0</v>
      </c>
      <c r="J17" s="37">
        <v>0</v>
      </c>
      <c r="K17" s="37" t="s">
        <v>71</v>
      </c>
      <c r="L17" s="37">
        <v>0</v>
      </c>
      <c r="M17" s="37">
        <v>0</v>
      </c>
      <c r="N17" s="37">
        <v>5</v>
      </c>
      <c r="O17" s="37">
        <v>5</v>
      </c>
      <c r="P17" s="37">
        <v>0</v>
      </c>
      <c r="Q17" s="37">
        <v>0</v>
      </c>
      <c r="R17" s="37">
        <v>0</v>
      </c>
      <c r="S17" s="37">
        <v>0</v>
      </c>
      <c r="T17" s="37"/>
      <c r="U17" s="37">
        <v>0</v>
      </c>
      <c r="V17" s="37">
        <v>0</v>
      </c>
    </row>
    <row r="18" spans="1:22" x14ac:dyDescent="0.25">
      <c r="A18" s="37">
        <v>17</v>
      </c>
      <c r="B18" s="37" t="s">
        <v>164</v>
      </c>
      <c r="C18" s="37" t="s">
        <v>67</v>
      </c>
      <c r="D18" s="37" t="s">
        <v>68</v>
      </c>
      <c r="E18" s="54">
        <v>29537</v>
      </c>
      <c r="F18" s="37" t="s">
        <v>165</v>
      </c>
      <c r="G18" s="37" t="s">
        <v>66</v>
      </c>
      <c r="H18" s="37" t="s">
        <v>69</v>
      </c>
      <c r="I18" s="37">
        <v>2</v>
      </c>
      <c r="J18" s="37">
        <v>2</v>
      </c>
      <c r="K18" s="37" t="s">
        <v>71</v>
      </c>
      <c r="L18" s="37">
        <v>52000</v>
      </c>
      <c r="M18" s="37">
        <v>10</v>
      </c>
      <c r="N18" s="37">
        <v>6</v>
      </c>
      <c r="O18" s="37">
        <v>0</v>
      </c>
      <c r="P18" s="37">
        <v>0</v>
      </c>
      <c r="Q18" s="37">
        <v>7000</v>
      </c>
      <c r="R18" s="37">
        <v>0</v>
      </c>
      <c r="S18" s="37">
        <v>0</v>
      </c>
      <c r="T18" s="37">
        <v>7800</v>
      </c>
      <c r="U18" s="37">
        <v>0</v>
      </c>
      <c r="V18" s="37">
        <v>0</v>
      </c>
    </row>
    <row r="19" spans="1:22" x14ac:dyDescent="0.25">
      <c r="A19" s="37">
        <v>18</v>
      </c>
      <c r="B19" s="37" t="s">
        <v>166</v>
      </c>
      <c r="C19" s="37" t="s">
        <v>167</v>
      </c>
      <c r="D19" s="37" t="s">
        <v>168</v>
      </c>
      <c r="E19" s="37" t="s">
        <v>169</v>
      </c>
      <c r="F19" s="37" t="s">
        <v>170</v>
      </c>
      <c r="G19" s="37" t="s">
        <v>66</v>
      </c>
      <c r="H19" s="37" t="s">
        <v>69</v>
      </c>
      <c r="I19" s="37">
        <v>1</v>
      </c>
      <c r="J19" s="37">
        <v>4</v>
      </c>
      <c r="K19" s="37" t="s">
        <v>71</v>
      </c>
      <c r="L19" s="37">
        <v>0</v>
      </c>
      <c r="M19" s="37">
        <v>8</v>
      </c>
      <c r="N19" s="37">
        <v>0</v>
      </c>
      <c r="O19" s="37">
        <v>0</v>
      </c>
      <c r="P19" s="37">
        <v>6</v>
      </c>
      <c r="Q19" s="37">
        <v>10000</v>
      </c>
      <c r="R19" s="37">
        <v>0</v>
      </c>
      <c r="S19" s="37">
        <v>0</v>
      </c>
      <c r="T19" s="37">
        <v>0</v>
      </c>
      <c r="U19" s="37">
        <v>0</v>
      </c>
      <c r="V19" s="37">
        <v>0</v>
      </c>
    </row>
    <row r="20" spans="1:22" x14ac:dyDescent="0.25">
      <c r="A20" s="37">
        <v>19</v>
      </c>
      <c r="B20" s="37" t="s">
        <v>171</v>
      </c>
      <c r="C20" s="37" t="s">
        <v>172</v>
      </c>
      <c r="D20" s="37" t="s">
        <v>168</v>
      </c>
      <c r="E20" s="37" t="s">
        <v>173</v>
      </c>
      <c r="F20" s="37" t="s">
        <v>174</v>
      </c>
      <c r="G20" s="37" t="s">
        <v>66</v>
      </c>
      <c r="H20" s="37" t="s">
        <v>69</v>
      </c>
      <c r="I20" s="37">
        <v>1</v>
      </c>
      <c r="J20" s="37">
        <v>3</v>
      </c>
      <c r="K20" s="37" t="s">
        <v>71</v>
      </c>
      <c r="L20" s="37">
        <v>0</v>
      </c>
      <c r="M20" s="37">
        <v>0</v>
      </c>
      <c r="N20" s="37">
        <v>2</v>
      </c>
      <c r="O20" s="37">
        <v>5</v>
      </c>
      <c r="P20" s="37">
        <v>0</v>
      </c>
      <c r="Q20" s="37">
        <v>0</v>
      </c>
      <c r="R20" s="37">
        <v>0</v>
      </c>
      <c r="S20" s="37">
        <v>0</v>
      </c>
      <c r="T20" s="37">
        <v>0</v>
      </c>
      <c r="U20" s="37">
        <v>20000</v>
      </c>
      <c r="V20" s="37">
        <v>0</v>
      </c>
    </row>
    <row r="21" spans="1:22" x14ac:dyDescent="0.25">
      <c r="A21" s="37">
        <v>20</v>
      </c>
      <c r="B21" s="37" t="s">
        <v>175</v>
      </c>
      <c r="C21" s="37" t="s">
        <v>176</v>
      </c>
      <c r="D21" s="37" t="s">
        <v>177</v>
      </c>
      <c r="E21" s="37" t="s">
        <v>178</v>
      </c>
      <c r="F21" s="37" t="s">
        <v>165</v>
      </c>
      <c r="G21" s="37" t="s">
        <v>66</v>
      </c>
      <c r="H21" s="37" t="s">
        <v>69</v>
      </c>
      <c r="I21" s="37">
        <v>2</v>
      </c>
      <c r="J21" s="37">
        <v>7</v>
      </c>
      <c r="K21" s="37" t="s">
        <v>64</v>
      </c>
      <c r="L21" s="37">
        <v>0</v>
      </c>
      <c r="M21" s="37">
        <v>0</v>
      </c>
      <c r="N21" s="37">
        <v>0</v>
      </c>
      <c r="O21" s="37">
        <v>0</v>
      </c>
      <c r="P21" s="37">
        <v>0</v>
      </c>
      <c r="Q21" s="37">
        <v>10000</v>
      </c>
      <c r="R21" s="37">
        <v>65000</v>
      </c>
      <c r="S21" s="37">
        <v>0</v>
      </c>
      <c r="T21" s="37">
        <v>0</v>
      </c>
      <c r="U21" s="37">
        <v>15000</v>
      </c>
      <c r="V21" s="37">
        <v>0</v>
      </c>
    </row>
    <row r="22" spans="1:22" x14ac:dyDescent="0.25">
      <c r="A22" s="37">
        <v>21</v>
      </c>
      <c r="B22" s="37" t="s">
        <v>179</v>
      </c>
      <c r="C22" s="37" t="s">
        <v>180</v>
      </c>
      <c r="D22" s="37" t="s">
        <v>181</v>
      </c>
      <c r="E22" s="37" t="s">
        <v>182</v>
      </c>
      <c r="F22" s="37" t="s">
        <v>183</v>
      </c>
      <c r="G22" s="37" t="s">
        <v>66</v>
      </c>
      <c r="H22" s="37" t="s">
        <v>69</v>
      </c>
      <c r="I22" s="37">
        <v>1</v>
      </c>
      <c r="J22" s="37">
        <v>1</v>
      </c>
      <c r="K22" s="37" t="s">
        <v>71</v>
      </c>
      <c r="L22" s="37">
        <v>0</v>
      </c>
      <c r="M22" s="37">
        <v>0</v>
      </c>
      <c r="N22" s="37">
        <v>0</v>
      </c>
      <c r="O22" s="37">
        <v>0</v>
      </c>
      <c r="P22" s="37">
        <v>8</v>
      </c>
      <c r="Q22" s="37">
        <v>0</v>
      </c>
      <c r="R22" s="37">
        <v>0</v>
      </c>
      <c r="S22" s="37">
        <v>0</v>
      </c>
      <c r="T22" s="37">
        <v>3000</v>
      </c>
      <c r="U22" s="37">
        <v>0</v>
      </c>
      <c r="V22" s="37">
        <v>0</v>
      </c>
    </row>
    <row r="23" spans="1:22" x14ac:dyDescent="0.25">
      <c r="A23" s="37">
        <v>22</v>
      </c>
      <c r="B23" s="37" t="s">
        <v>184</v>
      </c>
      <c r="C23" s="37" t="s">
        <v>185</v>
      </c>
      <c r="D23" s="37" t="s">
        <v>181</v>
      </c>
      <c r="E23" s="37" t="s">
        <v>186</v>
      </c>
      <c r="F23" s="37" t="s">
        <v>187</v>
      </c>
      <c r="G23" s="37" t="s">
        <v>66</v>
      </c>
      <c r="H23" s="37" t="s">
        <v>69</v>
      </c>
      <c r="I23" s="37">
        <v>1</v>
      </c>
      <c r="J23" s="37">
        <v>3</v>
      </c>
      <c r="K23" s="37" t="s">
        <v>96</v>
      </c>
      <c r="L23" s="37">
        <v>13500</v>
      </c>
      <c r="M23" s="37">
        <v>8</v>
      </c>
      <c r="N23" s="37">
        <v>3</v>
      </c>
      <c r="O23" s="37">
        <v>0</v>
      </c>
      <c r="P23" s="37">
        <v>0</v>
      </c>
      <c r="Q23" s="37">
        <v>0</v>
      </c>
      <c r="R23" s="37">
        <v>0</v>
      </c>
      <c r="S23" s="37">
        <v>0</v>
      </c>
      <c r="T23" s="37">
        <v>2500</v>
      </c>
      <c r="U23" s="37">
        <v>0</v>
      </c>
      <c r="V23" s="37">
        <v>0</v>
      </c>
    </row>
    <row r="24" spans="1:22" x14ac:dyDescent="0.25">
      <c r="A24" s="37">
        <v>23</v>
      </c>
      <c r="B24" s="37" t="s">
        <v>188</v>
      </c>
      <c r="C24" s="37" t="s">
        <v>189</v>
      </c>
      <c r="D24" s="37" t="s">
        <v>68</v>
      </c>
      <c r="E24" s="54">
        <v>28924</v>
      </c>
      <c r="F24" s="37" t="s">
        <v>190</v>
      </c>
      <c r="G24" s="37" t="s">
        <v>66</v>
      </c>
      <c r="H24" s="37" t="s">
        <v>69</v>
      </c>
      <c r="I24" s="37">
        <v>2</v>
      </c>
      <c r="J24" s="37">
        <v>4</v>
      </c>
      <c r="K24" s="37" t="s">
        <v>96</v>
      </c>
      <c r="L24" s="37">
        <v>0</v>
      </c>
      <c r="M24" s="37">
        <v>8</v>
      </c>
      <c r="N24" s="37">
        <v>4</v>
      </c>
      <c r="O24" s="37">
        <v>4</v>
      </c>
      <c r="P24" s="37">
        <v>6</v>
      </c>
      <c r="Q24" s="37">
        <v>0</v>
      </c>
      <c r="R24" s="37">
        <v>0</v>
      </c>
      <c r="S24" s="37">
        <v>20000</v>
      </c>
      <c r="T24" s="37">
        <v>0</v>
      </c>
      <c r="U24" s="37">
        <v>0</v>
      </c>
      <c r="V24" s="37">
        <v>0</v>
      </c>
    </row>
    <row r="25" spans="1:22" x14ac:dyDescent="0.25">
      <c r="A25" s="37">
        <v>24</v>
      </c>
      <c r="B25" s="37" t="s">
        <v>191</v>
      </c>
      <c r="C25" s="37" t="s">
        <v>192</v>
      </c>
      <c r="D25" s="37" t="s">
        <v>68</v>
      </c>
      <c r="E25" s="54">
        <v>30263</v>
      </c>
      <c r="F25" s="37" t="s">
        <v>193</v>
      </c>
      <c r="G25" s="37" t="s">
        <v>70</v>
      </c>
      <c r="H25" s="37" t="s">
        <v>69</v>
      </c>
      <c r="I25" s="37">
        <v>0</v>
      </c>
      <c r="J25" s="37">
        <v>3</v>
      </c>
      <c r="K25" s="37" t="s">
        <v>96</v>
      </c>
      <c r="L25" s="37">
        <v>0</v>
      </c>
      <c r="M25" s="37">
        <v>0</v>
      </c>
      <c r="N25" s="37">
        <v>0</v>
      </c>
      <c r="O25" s="37">
        <v>0</v>
      </c>
      <c r="P25" s="37">
        <v>0</v>
      </c>
      <c r="Q25" s="37">
        <v>10000</v>
      </c>
      <c r="R25" s="37">
        <v>0</v>
      </c>
      <c r="S25" s="37">
        <v>0</v>
      </c>
      <c r="T25" s="37">
        <v>0</v>
      </c>
      <c r="U25" s="37">
        <v>0</v>
      </c>
      <c r="V25" s="37">
        <v>0</v>
      </c>
    </row>
    <row r="26" spans="1:22" x14ac:dyDescent="0.25">
      <c r="A26" s="37">
        <v>25</v>
      </c>
      <c r="B26" s="37" t="s">
        <v>194</v>
      </c>
      <c r="C26" s="37" t="s">
        <v>195</v>
      </c>
      <c r="D26" s="37" t="s">
        <v>196</v>
      </c>
      <c r="E26" s="54">
        <v>27489</v>
      </c>
      <c r="F26" s="37" t="s">
        <v>197</v>
      </c>
      <c r="G26" s="37" t="s">
        <v>66</v>
      </c>
      <c r="H26" s="37" t="s">
        <v>69</v>
      </c>
      <c r="I26" s="37">
        <v>2</v>
      </c>
      <c r="J26" s="37">
        <v>5</v>
      </c>
      <c r="K26" s="37" t="s">
        <v>71</v>
      </c>
      <c r="L26" s="37">
        <v>0</v>
      </c>
      <c r="M26" s="37">
        <v>0</v>
      </c>
      <c r="N26" s="37">
        <v>0</v>
      </c>
      <c r="O26" s="37">
        <v>2</v>
      </c>
      <c r="P26" s="37">
        <v>6</v>
      </c>
      <c r="Q26" s="37">
        <v>0</v>
      </c>
      <c r="R26" s="37">
        <v>50000</v>
      </c>
      <c r="S26" s="37">
        <v>0</v>
      </c>
      <c r="T26" s="37">
        <v>0</v>
      </c>
      <c r="U26" s="37">
        <v>0</v>
      </c>
      <c r="V26" s="37">
        <v>0</v>
      </c>
    </row>
    <row r="27" spans="1:22" x14ac:dyDescent="0.25">
      <c r="A27" s="37">
        <v>26</v>
      </c>
      <c r="B27" s="37" t="s">
        <v>198</v>
      </c>
      <c r="C27" s="37" t="s">
        <v>199</v>
      </c>
      <c r="D27" s="37" t="s">
        <v>200</v>
      </c>
      <c r="E27" s="37" t="s">
        <v>201</v>
      </c>
      <c r="F27" s="37" t="s">
        <v>202</v>
      </c>
      <c r="G27" s="37" t="s">
        <v>66</v>
      </c>
      <c r="H27" s="37" t="s">
        <v>69</v>
      </c>
      <c r="I27" s="37">
        <v>1</v>
      </c>
      <c r="J27" s="37">
        <v>0</v>
      </c>
      <c r="K27" s="37" t="s">
        <v>71</v>
      </c>
      <c r="L27" s="37">
        <v>0</v>
      </c>
      <c r="M27" s="37">
        <v>8</v>
      </c>
      <c r="N27" s="37">
        <v>5</v>
      </c>
      <c r="O27" s="37">
        <v>2</v>
      </c>
      <c r="P27" s="37">
        <v>0</v>
      </c>
      <c r="Q27" s="37">
        <v>10000</v>
      </c>
      <c r="R27" s="37">
        <v>0</v>
      </c>
      <c r="S27" s="37">
        <v>0</v>
      </c>
      <c r="T27" s="37">
        <v>2500</v>
      </c>
      <c r="U27" s="37">
        <v>0</v>
      </c>
      <c r="V27" s="37">
        <v>0</v>
      </c>
    </row>
    <row r="28" spans="1:22" x14ac:dyDescent="0.25">
      <c r="A28" s="37">
        <v>27</v>
      </c>
      <c r="B28" s="37" t="s">
        <v>198</v>
      </c>
      <c r="C28" s="37" t="s">
        <v>203</v>
      </c>
      <c r="D28" s="37" t="s">
        <v>200</v>
      </c>
      <c r="E28" s="54">
        <v>28525</v>
      </c>
      <c r="F28" s="37" t="s">
        <v>204</v>
      </c>
      <c r="G28" s="37" t="s">
        <v>70</v>
      </c>
      <c r="H28" s="37" t="s">
        <v>73</v>
      </c>
      <c r="I28" s="37">
        <v>0</v>
      </c>
      <c r="J28" s="37">
        <v>0</v>
      </c>
      <c r="K28" s="37" t="s">
        <v>71</v>
      </c>
      <c r="L28" s="37">
        <v>0</v>
      </c>
      <c r="M28" s="37">
        <v>0</v>
      </c>
      <c r="N28" s="37">
        <v>4</v>
      </c>
      <c r="O28" s="37">
        <v>0</v>
      </c>
      <c r="P28" s="37">
        <v>5</v>
      </c>
      <c r="Q28" s="37">
        <v>0</v>
      </c>
      <c r="R28" s="37">
        <v>0</v>
      </c>
      <c r="S28" s="37">
        <v>0</v>
      </c>
      <c r="T28" s="37"/>
      <c r="U28" s="37">
        <v>30000</v>
      </c>
      <c r="V28" s="37">
        <v>0</v>
      </c>
    </row>
    <row r="29" spans="1:22" x14ac:dyDescent="0.25">
      <c r="A29" s="37">
        <v>28</v>
      </c>
      <c r="B29" s="37" t="s">
        <v>205</v>
      </c>
      <c r="C29" s="37" t="s">
        <v>206</v>
      </c>
      <c r="D29" s="37" t="s">
        <v>207</v>
      </c>
      <c r="E29" s="37" t="s">
        <v>208</v>
      </c>
      <c r="F29" s="37" t="s">
        <v>209</v>
      </c>
      <c r="G29" s="37" t="s">
        <v>66</v>
      </c>
      <c r="H29" s="37" t="s">
        <v>73</v>
      </c>
      <c r="I29" s="37">
        <v>0</v>
      </c>
      <c r="J29" s="37">
        <v>0</v>
      </c>
      <c r="K29" s="37" t="s">
        <v>71</v>
      </c>
      <c r="L29" s="37">
        <v>12000</v>
      </c>
      <c r="M29" s="37">
        <v>8</v>
      </c>
      <c r="N29" s="37">
        <v>4</v>
      </c>
      <c r="O29" s="37">
        <v>5</v>
      </c>
      <c r="P29" s="37">
        <v>7</v>
      </c>
      <c r="Q29" s="37">
        <v>0</v>
      </c>
      <c r="R29" s="37">
        <v>0</v>
      </c>
      <c r="S29" s="37">
        <v>0</v>
      </c>
      <c r="T29" s="37"/>
      <c r="U29" s="37">
        <v>0</v>
      </c>
      <c r="V29" s="37">
        <v>0</v>
      </c>
    </row>
    <row r="30" spans="1:22" x14ac:dyDescent="0.25">
      <c r="A30" s="37">
        <v>29</v>
      </c>
      <c r="B30" s="37" t="s">
        <v>210</v>
      </c>
      <c r="C30" s="37" t="s">
        <v>167</v>
      </c>
      <c r="D30" s="37" t="s">
        <v>211</v>
      </c>
      <c r="E30" s="37" t="s">
        <v>212</v>
      </c>
      <c r="F30" s="37" t="s">
        <v>213</v>
      </c>
      <c r="G30" s="37" t="s">
        <v>66</v>
      </c>
      <c r="H30" s="37" t="s">
        <v>69</v>
      </c>
      <c r="I30" s="37">
        <v>0</v>
      </c>
      <c r="J30" s="37">
        <v>0</v>
      </c>
      <c r="K30" s="37" t="s">
        <v>64</v>
      </c>
      <c r="L30" s="37">
        <v>0</v>
      </c>
      <c r="M30" s="37">
        <v>0</v>
      </c>
      <c r="N30" s="37">
        <v>0</v>
      </c>
      <c r="O30" s="37">
        <v>0</v>
      </c>
      <c r="P30" s="37">
        <v>0</v>
      </c>
      <c r="Q30" s="37">
        <v>0</v>
      </c>
      <c r="R30" s="37">
        <v>15000</v>
      </c>
      <c r="S30" s="37">
        <v>0</v>
      </c>
      <c r="T30" s="37">
        <v>3000</v>
      </c>
      <c r="U30" s="37">
        <v>0</v>
      </c>
      <c r="V30" s="37">
        <v>0</v>
      </c>
    </row>
    <row r="31" spans="1:22" x14ac:dyDescent="0.25">
      <c r="A31" s="37">
        <v>31</v>
      </c>
      <c r="B31" s="37" t="s">
        <v>214</v>
      </c>
      <c r="C31" s="37" t="s">
        <v>215</v>
      </c>
      <c r="D31" s="37" t="s">
        <v>72</v>
      </c>
      <c r="E31" s="54">
        <v>35408</v>
      </c>
      <c r="F31" s="37" t="s">
        <v>193</v>
      </c>
      <c r="G31" s="37" t="s">
        <v>70</v>
      </c>
      <c r="H31" s="37" t="s">
        <v>73</v>
      </c>
      <c r="I31" s="37">
        <v>0</v>
      </c>
      <c r="J31" s="37">
        <v>0</v>
      </c>
      <c r="K31" s="37" t="s">
        <v>64</v>
      </c>
      <c r="L31" s="37">
        <v>200000</v>
      </c>
      <c r="M31" s="37">
        <v>0</v>
      </c>
      <c r="N31" s="37">
        <v>0</v>
      </c>
      <c r="O31" s="37">
        <v>0</v>
      </c>
      <c r="P31" s="37">
        <v>0</v>
      </c>
      <c r="Q31" s="37">
        <v>100000</v>
      </c>
      <c r="R31" s="37">
        <v>10000</v>
      </c>
      <c r="S31" s="37">
        <v>100000</v>
      </c>
      <c r="T31" s="37">
        <v>2800</v>
      </c>
      <c r="U31" s="37">
        <v>30000</v>
      </c>
      <c r="V31" s="37">
        <v>4000</v>
      </c>
    </row>
    <row r="32" spans="1:22" x14ac:dyDescent="0.25">
      <c r="A32" s="37">
        <v>31</v>
      </c>
      <c r="B32" s="37" t="s">
        <v>216</v>
      </c>
      <c r="C32" s="37" t="s">
        <v>217</v>
      </c>
      <c r="D32" s="37" t="s">
        <v>68</v>
      </c>
      <c r="E32" s="54">
        <v>28835</v>
      </c>
      <c r="F32" s="37" t="s">
        <v>218</v>
      </c>
      <c r="G32" s="37" t="s">
        <v>66</v>
      </c>
      <c r="H32" s="37" t="s">
        <v>69</v>
      </c>
      <c r="I32" s="37">
        <v>2</v>
      </c>
      <c r="J32" s="37">
        <v>2</v>
      </c>
      <c r="K32" s="37" t="s">
        <v>71</v>
      </c>
      <c r="L32" s="37">
        <v>52000</v>
      </c>
      <c r="M32" s="37">
        <v>10</v>
      </c>
      <c r="N32" s="37">
        <v>6</v>
      </c>
      <c r="O32" s="37">
        <v>0</v>
      </c>
      <c r="P32" s="37">
        <v>0</v>
      </c>
      <c r="Q32" s="37">
        <v>7000</v>
      </c>
      <c r="R32" s="37">
        <v>0</v>
      </c>
      <c r="S32" s="37">
        <v>0</v>
      </c>
      <c r="T32" s="37">
        <v>7800</v>
      </c>
      <c r="U32" s="37">
        <v>0</v>
      </c>
      <c r="V32" s="37">
        <v>0</v>
      </c>
    </row>
    <row r="33" spans="1:22" x14ac:dyDescent="0.25">
      <c r="A33">
        <v>32</v>
      </c>
      <c r="B33" t="s">
        <v>219</v>
      </c>
      <c r="C33" t="s">
        <v>220</v>
      </c>
      <c r="D33" t="s">
        <v>221</v>
      </c>
      <c r="E33" s="83">
        <v>32763</v>
      </c>
      <c r="F33" t="s">
        <v>222</v>
      </c>
      <c r="G33" t="s">
        <v>70</v>
      </c>
      <c r="H33" t="s">
        <v>69</v>
      </c>
      <c r="I33">
        <v>0</v>
      </c>
      <c r="J33">
        <v>4</v>
      </c>
      <c r="K33" t="s">
        <v>64</v>
      </c>
      <c r="L33">
        <v>0</v>
      </c>
      <c r="M33">
        <v>0</v>
      </c>
      <c r="N33">
        <v>0</v>
      </c>
      <c r="O33">
        <v>0</v>
      </c>
      <c r="P33">
        <v>0</v>
      </c>
      <c r="Q33">
        <v>150000</v>
      </c>
      <c r="R33">
        <v>100000</v>
      </c>
      <c r="S33">
        <v>0</v>
      </c>
      <c r="T33">
        <v>1800</v>
      </c>
      <c r="U33">
        <v>100000</v>
      </c>
      <c r="V33">
        <v>0</v>
      </c>
    </row>
    <row r="34" spans="1:22" x14ac:dyDescent="0.25">
      <c r="A34" s="37">
        <v>33</v>
      </c>
      <c r="B34" s="37" t="s">
        <v>224</v>
      </c>
      <c r="C34" s="37" t="s">
        <v>225</v>
      </c>
      <c r="D34" s="37" t="s">
        <v>72</v>
      </c>
      <c r="E34" s="54">
        <v>36171</v>
      </c>
      <c r="F34" s="37" t="s">
        <v>95</v>
      </c>
      <c r="G34" s="37" t="s">
        <v>66</v>
      </c>
      <c r="H34" s="37" t="s">
        <v>73</v>
      </c>
      <c r="I34" s="37">
        <v>0</v>
      </c>
      <c r="J34" s="37">
        <v>0</v>
      </c>
      <c r="K34" s="37" t="s">
        <v>64</v>
      </c>
      <c r="L34" s="37">
        <v>20000</v>
      </c>
      <c r="M34" s="37">
        <v>0</v>
      </c>
      <c r="N34" s="37">
        <v>0</v>
      </c>
      <c r="O34" s="37">
        <v>0</v>
      </c>
      <c r="P34" s="37">
        <v>0</v>
      </c>
      <c r="Q34" s="37">
        <v>0</v>
      </c>
      <c r="R34" s="37">
        <v>1000</v>
      </c>
      <c r="S34" s="37">
        <v>12000</v>
      </c>
      <c r="T34" s="37">
        <v>1200</v>
      </c>
      <c r="U34" s="37">
        <v>13000</v>
      </c>
      <c r="V34" s="37">
        <v>0</v>
      </c>
    </row>
    <row r="35" spans="1:22" x14ac:dyDescent="0.25">
      <c r="A35" s="37">
        <v>34</v>
      </c>
      <c r="B35" s="37" t="s">
        <v>226</v>
      </c>
      <c r="C35" s="37" t="s">
        <v>227</v>
      </c>
      <c r="D35" s="37" t="s">
        <v>228</v>
      </c>
      <c r="E35" s="54">
        <v>36476</v>
      </c>
      <c r="F35" s="37" t="s">
        <v>229</v>
      </c>
      <c r="G35" s="37" t="s">
        <v>70</v>
      </c>
      <c r="H35" s="37" t="s">
        <v>69</v>
      </c>
      <c r="I35" s="37">
        <v>0</v>
      </c>
      <c r="J35" s="37">
        <v>0</v>
      </c>
      <c r="K35" s="37" t="s">
        <v>64</v>
      </c>
      <c r="L35" s="37">
        <v>100000</v>
      </c>
      <c r="M35" s="37">
        <v>0</v>
      </c>
      <c r="N35" s="37">
        <v>0</v>
      </c>
      <c r="O35" s="37">
        <v>0</v>
      </c>
      <c r="P35" s="37">
        <v>0</v>
      </c>
      <c r="Q35" s="37">
        <v>20000</v>
      </c>
      <c r="R35" s="37">
        <v>19000</v>
      </c>
      <c r="S35" s="37">
        <v>120000</v>
      </c>
      <c r="T35" s="37">
        <v>1000</v>
      </c>
      <c r="U35" s="37">
        <v>10000</v>
      </c>
      <c r="V35" s="37">
        <v>40000</v>
      </c>
    </row>
    <row r="36" spans="1:22" x14ac:dyDescent="0.25">
      <c r="A36" s="37">
        <v>35</v>
      </c>
      <c r="B36" s="37" t="s">
        <v>230</v>
      </c>
      <c r="C36" s="37" t="s">
        <v>231</v>
      </c>
      <c r="D36" s="37" t="s">
        <v>232</v>
      </c>
      <c r="E36" s="54">
        <v>36496</v>
      </c>
      <c r="F36" s="37" t="s">
        <v>233</v>
      </c>
      <c r="G36" s="37" t="s">
        <v>70</v>
      </c>
      <c r="H36" s="37" t="s">
        <v>69</v>
      </c>
      <c r="I36" s="37">
        <v>0</v>
      </c>
      <c r="J36" s="37">
        <v>0</v>
      </c>
      <c r="K36" s="37" t="s">
        <v>64</v>
      </c>
      <c r="L36" s="37">
        <v>1000</v>
      </c>
      <c r="M36" s="37">
        <v>0</v>
      </c>
      <c r="N36" s="37">
        <v>0</v>
      </c>
      <c r="O36" s="37">
        <v>0</v>
      </c>
      <c r="P36" s="37">
        <v>0</v>
      </c>
      <c r="Q36" s="37">
        <v>0</v>
      </c>
      <c r="R36" s="37">
        <v>9000</v>
      </c>
      <c r="S36" s="37">
        <v>12000</v>
      </c>
      <c r="T36" s="37">
        <v>2000</v>
      </c>
      <c r="U36" s="37">
        <v>3000</v>
      </c>
      <c r="V36" s="37">
        <v>1000</v>
      </c>
    </row>
    <row r="37" spans="1:22" x14ac:dyDescent="0.25">
      <c r="A37" s="37">
        <v>36</v>
      </c>
      <c r="B37" s="37" t="s">
        <v>234</v>
      </c>
      <c r="C37" s="37" t="s">
        <v>235</v>
      </c>
      <c r="D37" s="37" t="s">
        <v>236</v>
      </c>
      <c r="E37" s="37" t="s">
        <v>237</v>
      </c>
      <c r="F37" s="37" t="s">
        <v>238</v>
      </c>
      <c r="G37" s="37" t="s">
        <v>70</v>
      </c>
      <c r="H37" s="37" t="s">
        <v>73</v>
      </c>
      <c r="I37" s="37">
        <v>0</v>
      </c>
      <c r="J37" s="37">
        <v>0</v>
      </c>
      <c r="K37" s="37" t="s">
        <v>64</v>
      </c>
      <c r="L37" s="37">
        <v>609000</v>
      </c>
      <c r="M37" s="37">
        <v>0</v>
      </c>
      <c r="N37" s="37">
        <v>0</v>
      </c>
      <c r="O37" s="37">
        <v>0</v>
      </c>
      <c r="P37" s="37">
        <v>0</v>
      </c>
      <c r="Q37" s="37">
        <v>30000</v>
      </c>
      <c r="R37" s="37">
        <v>100000</v>
      </c>
      <c r="S37" s="37">
        <v>120000</v>
      </c>
      <c r="T37" s="37">
        <v>2000</v>
      </c>
      <c r="U37" s="37">
        <v>30000</v>
      </c>
      <c r="V37" s="37">
        <v>90000</v>
      </c>
    </row>
    <row r="38" spans="1:22" x14ac:dyDescent="0.25">
      <c r="A38" s="37"/>
      <c r="B38" s="37"/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/>
    </row>
    <row r="39" spans="1:22" x14ac:dyDescent="0.25">
      <c r="A39" s="37"/>
      <c r="B39" s="37"/>
      <c r="C39" s="37"/>
      <c r="D39" s="37"/>
      <c r="E39" s="37"/>
      <c r="F39" s="37"/>
      <c r="G39" s="37"/>
      <c r="H39" s="37"/>
      <c r="I39" s="37"/>
      <c r="J39" s="37"/>
      <c r="K39" s="37"/>
      <c r="L39" s="37"/>
      <c r="M39" s="37"/>
      <c r="N39" s="37"/>
      <c r="O39" s="37"/>
      <c r="P39" s="37"/>
      <c r="Q39" s="37"/>
      <c r="R39" s="37"/>
      <c r="S39" s="37"/>
      <c r="T39" s="37"/>
      <c r="U39" s="37"/>
      <c r="V39" s="37"/>
    </row>
    <row r="40" spans="1:22" x14ac:dyDescent="0.25">
      <c r="A40" s="37"/>
      <c r="B40" s="37"/>
      <c r="C40" s="37"/>
      <c r="D40" s="37"/>
      <c r="E40" s="37"/>
      <c r="F40" s="37"/>
      <c r="G40" s="37"/>
      <c r="H40" s="37"/>
      <c r="I40" s="37"/>
      <c r="J40" s="37"/>
      <c r="K40" s="37"/>
      <c r="L40" s="37"/>
      <c r="M40" s="37"/>
      <c r="N40" s="37"/>
      <c r="O40" s="37"/>
      <c r="P40" s="37"/>
      <c r="Q40" s="37"/>
      <c r="R40" s="37"/>
      <c r="S40" s="37"/>
      <c r="T40" s="37"/>
      <c r="U40" s="37"/>
      <c r="V40" s="37"/>
    </row>
    <row r="41" spans="1:22" x14ac:dyDescent="0.25">
      <c r="A41" s="37"/>
      <c r="B41" s="37"/>
      <c r="C41" s="37"/>
      <c r="D41" s="37"/>
      <c r="E41" s="37"/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</row>
    <row r="42" spans="1:22" x14ac:dyDescent="0.25">
      <c r="A42" s="37"/>
      <c r="B42" s="3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</row>
    <row r="43" spans="1:22" x14ac:dyDescent="0.25">
      <c r="A43" s="37"/>
      <c r="B43" s="37"/>
      <c r="C43" s="37"/>
      <c r="D43" s="37"/>
      <c r="E43" s="37"/>
      <c r="F43" s="37"/>
      <c r="G43" s="37"/>
      <c r="H43" s="37"/>
      <c r="I43" s="37"/>
      <c r="J43" s="37"/>
      <c r="K43" s="37"/>
      <c r="L43" s="37"/>
      <c r="M43" s="37"/>
      <c r="N43" s="37"/>
      <c r="O43" s="37"/>
      <c r="P43" s="37"/>
      <c r="Q43" s="37"/>
      <c r="R43" s="37"/>
      <c r="S43" s="37"/>
      <c r="T43" s="37"/>
      <c r="U43" s="37"/>
      <c r="V43" s="37"/>
    </row>
    <row r="44" spans="1:22" x14ac:dyDescent="0.25">
      <c r="A44" s="37"/>
      <c r="B44" s="37"/>
      <c r="C44" s="37"/>
      <c r="D44" s="37"/>
      <c r="E44" s="37"/>
      <c r="F44" s="37"/>
      <c r="G44" s="37"/>
      <c r="H44" s="37"/>
      <c r="I44" s="37"/>
      <c r="J44" s="37"/>
      <c r="K44" s="37"/>
      <c r="L44" s="37"/>
      <c r="M44" s="37"/>
      <c r="N44" s="37"/>
      <c r="O44" s="37"/>
      <c r="P44" s="37"/>
      <c r="Q44" s="37"/>
      <c r="R44" s="37"/>
      <c r="S44" s="37"/>
      <c r="T44" s="37"/>
      <c r="U44" s="37"/>
      <c r="V44" s="37"/>
    </row>
    <row r="45" spans="1:22" x14ac:dyDescent="0.25">
      <c r="A45" s="37"/>
      <c r="B45" s="37"/>
      <c r="C45" s="37"/>
      <c r="D45" s="37"/>
      <c r="E45" s="37"/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</row>
    <row r="46" spans="1:22" x14ac:dyDescent="0.25">
      <c r="A46" s="37"/>
      <c r="B46" s="37"/>
      <c r="C46" s="37"/>
      <c r="D46" s="37"/>
      <c r="E46" s="37"/>
      <c r="F46" s="37"/>
      <c r="G46" s="37"/>
      <c r="H46" s="37"/>
      <c r="I46" s="37"/>
      <c r="J46" s="37"/>
      <c r="K46" s="37"/>
      <c r="L46" s="37"/>
      <c r="M46" s="37"/>
      <c r="N46" s="37"/>
      <c r="O46" s="37"/>
      <c r="P46" s="37"/>
      <c r="Q46" s="37"/>
      <c r="R46" s="37"/>
      <c r="S46" s="37"/>
      <c r="T46" s="37"/>
      <c r="U46" s="37"/>
      <c r="V46" s="37"/>
    </row>
    <row r="47" spans="1:22" x14ac:dyDescent="0.25">
      <c r="A47" s="37"/>
      <c r="B47" s="37"/>
      <c r="C47" s="37"/>
      <c r="D47" s="37"/>
      <c r="E47" s="37"/>
      <c r="F47" s="37"/>
      <c r="G47" s="37"/>
      <c r="H47" s="37"/>
      <c r="I47" s="37"/>
      <c r="J47" s="37"/>
      <c r="K47" s="37"/>
      <c r="L47" s="37"/>
      <c r="M47" s="37"/>
      <c r="N47" s="37"/>
      <c r="O47" s="37"/>
      <c r="P47" s="37"/>
      <c r="Q47" s="37"/>
      <c r="R47" s="37"/>
      <c r="S47" s="37"/>
      <c r="T47" s="37"/>
      <c r="U47" s="37"/>
      <c r="V47" s="37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O51"/>
  <sheetViews>
    <sheetView workbookViewId="0">
      <selection activeCell="I1" sqref="I1"/>
    </sheetView>
  </sheetViews>
  <sheetFormatPr baseColWidth="10" defaultRowHeight="15" x14ac:dyDescent="0.25"/>
  <cols>
    <col min="3" max="3" width="12.140625" customWidth="1"/>
  </cols>
  <sheetData>
    <row r="1" spans="1:13" ht="15.75" thickBot="1" x14ac:dyDescent="0.3">
      <c r="A1" s="47" t="s">
        <v>33</v>
      </c>
      <c r="B1" s="48"/>
      <c r="C1" s="49" t="s">
        <v>34</v>
      </c>
      <c r="D1" s="49" t="s">
        <v>35</v>
      </c>
      <c r="E1" s="49" t="s">
        <v>36</v>
      </c>
      <c r="F1" s="49" t="s">
        <v>37</v>
      </c>
      <c r="G1" s="49" t="s">
        <v>38</v>
      </c>
      <c r="H1" s="49" t="s">
        <v>39</v>
      </c>
      <c r="I1" s="49" t="s">
        <v>59</v>
      </c>
      <c r="J1" s="49" t="s">
        <v>40</v>
      </c>
      <c r="K1" s="49" t="s">
        <v>41</v>
      </c>
      <c r="L1" s="49" t="s">
        <v>42</v>
      </c>
      <c r="M1" s="49" t="s">
        <v>43</v>
      </c>
    </row>
    <row r="2" spans="1:13" x14ac:dyDescent="0.25">
      <c r="A2" s="38" t="s">
        <v>217</v>
      </c>
      <c r="B2" s="39" t="s">
        <v>68</v>
      </c>
      <c r="C2" s="37">
        <v>238880</v>
      </c>
      <c r="D2" s="37">
        <v>13377.28</v>
      </c>
      <c r="E2" s="37">
        <v>5733.12</v>
      </c>
      <c r="F2" s="37">
        <v>7800</v>
      </c>
      <c r="G2" s="37">
        <v>2700</v>
      </c>
      <c r="H2" s="37">
        <v>2164</v>
      </c>
      <c r="I2" s="37">
        <v>0</v>
      </c>
      <c r="J2" s="37">
        <v>0</v>
      </c>
      <c r="K2" s="37">
        <v>31774.400000000001</v>
      </c>
      <c r="L2" s="37">
        <v>0</v>
      </c>
      <c r="M2" s="40">
        <v>207105.6</v>
      </c>
    </row>
    <row r="3" spans="1:13" x14ac:dyDescent="0.25">
      <c r="A3" s="41" t="s">
        <v>220</v>
      </c>
      <c r="B3" s="42" t="s">
        <v>221</v>
      </c>
      <c r="C3" s="37">
        <v>900000</v>
      </c>
      <c r="D3" s="37">
        <v>20160</v>
      </c>
      <c r="E3" s="37">
        <v>21600</v>
      </c>
      <c r="F3" s="37">
        <v>1800</v>
      </c>
      <c r="G3" s="37">
        <v>0</v>
      </c>
      <c r="H3" s="37">
        <v>202475</v>
      </c>
      <c r="I3" s="37">
        <v>100000</v>
      </c>
      <c r="J3" s="37">
        <v>0</v>
      </c>
      <c r="K3" s="37">
        <v>346035</v>
      </c>
      <c r="L3" s="37">
        <v>0</v>
      </c>
      <c r="M3" s="40">
        <v>553965</v>
      </c>
    </row>
    <row r="4" spans="1:13" x14ac:dyDescent="0.25">
      <c r="A4" s="41" t="s">
        <v>225</v>
      </c>
      <c r="B4" s="42" t="s">
        <v>72</v>
      </c>
      <c r="C4" s="37">
        <v>220000</v>
      </c>
      <c r="D4" s="37">
        <v>12320</v>
      </c>
      <c r="E4" s="37">
        <v>5280</v>
      </c>
      <c r="F4" s="37">
        <v>1200</v>
      </c>
      <c r="G4" s="37">
        <v>900</v>
      </c>
      <c r="H4" s="37">
        <v>23410</v>
      </c>
      <c r="I4" s="37">
        <v>13000</v>
      </c>
      <c r="J4" s="37">
        <v>0</v>
      </c>
      <c r="K4" s="37">
        <v>56110</v>
      </c>
      <c r="L4" s="37">
        <v>12000</v>
      </c>
      <c r="M4" s="40">
        <v>163890</v>
      </c>
    </row>
    <row r="5" spans="1:13" x14ac:dyDescent="0.25">
      <c r="A5" s="41" t="s">
        <v>227</v>
      </c>
      <c r="B5" s="42" t="s">
        <v>228</v>
      </c>
      <c r="C5" s="37">
        <v>1020000</v>
      </c>
      <c r="D5" s="37">
        <v>20160</v>
      </c>
      <c r="E5" s="37">
        <v>24480</v>
      </c>
      <c r="F5" s="37">
        <v>1000</v>
      </c>
      <c r="G5" s="37">
        <v>4800</v>
      </c>
      <c r="H5" s="37">
        <v>278680</v>
      </c>
      <c r="I5" s="37">
        <v>10000</v>
      </c>
      <c r="J5" s="37">
        <v>40000</v>
      </c>
      <c r="K5" s="37">
        <v>379120</v>
      </c>
      <c r="L5" s="37">
        <v>120000</v>
      </c>
      <c r="M5" s="40">
        <v>640880</v>
      </c>
    </row>
    <row r="6" spans="1:13" x14ac:dyDescent="0.25">
      <c r="A6" s="43" t="s">
        <v>231</v>
      </c>
      <c r="B6" s="44" t="s">
        <v>232</v>
      </c>
      <c r="C6" s="37">
        <v>91000</v>
      </c>
      <c r="D6" s="37">
        <v>5096</v>
      </c>
      <c r="E6" s="37">
        <v>2184</v>
      </c>
      <c r="F6" s="37">
        <v>2000</v>
      </c>
      <c r="G6" s="37">
        <v>900</v>
      </c>
      <c r="H6" s="37">
        <v>-4833</v>
      </c>
      <c r="I6" s="37">
        <v>3000</v>
      </c>
      <c r="J6" s="37">
        <v>1000</v>
      </c>
      <c r="K6" s="37">
        <v>9347</v>
      </c>
      <c r="L6" s="37">
        <v>12000</v>
      </c>
      <c r="M6" s="40">
        <v>81653</v>
      </c>
    </row>
    <row r="7" spans="1:13" x14ac:dyDescent="0.25">
      <c r="A7" s="43" t="s">
        <v>235</v>
      </c>
      <c r="B7" s="44" t="s">
        <v>236</v>
      </c>
      <c r="C7" s="37">
        <v>1639000</v>
      </c>
      <c r="D7" s="37">
        <v>20160</v>
      </c>
      <c r="E7" s="37">
        <v>25920</v>
      </c>
      <c r="F7" s="37">
        <v>2000</v>
      </c>
      <c r="G7" s="37">
        <v>4800</v>
      </c>
      <c r="H7" s="37">
        <v>578850</v>
      </c>
      <c r="I7" s="37">
        <v>30000</v>
      </c>
      <c r="J7" s="37">
        <v>90000</v>
      </c>
      <c r="K7" s="37">
        <v>751730</v>
      </c>
      <c r="L7" s="37">
        <v>120000</v>
      </c>
      <c r="M7" s="40">
        <v>887270</v>
      </c>
    </row>
    <row r="8" spans="1:13" x14ac:dyDescent="0.25">
      <c r="A8" s="43"/>
      <c r="B8" s="44"/>
      <c r="C8" s="37"/>
      <c r="D8" s="37"/>
      <c r="E8" s="37"/>
      <c r="F8" s="37"/>
      <c r="G8" s="37"/>
      <c r="H8" s="37"/>
      <c r="I8" s="37"/>
      <c r="J8" s="37"/>
      <c r="K8" s="37"/>
      <c r="L8" s="37"/>
      <c r="M8" s="40"/>
    </row>
    <row r="9" spans="1:13" x14ac:dyDescent="0.25">
      <c r="A9" s="43"/>
      <c r="B9" s="44"/>
      <c r="C9" s="37"/>
      <c r="D9" s="37"/>
      <c r="E9" s="37"/>
      <c r="F9" s="37"/>
      <c r="G9" s="37"/>
      <c r="H9" s="37"/>
      <c r="I9" s="37"/>
      <c r="J9" s="37"/>
      <c r="K9" s="37"/>
      <c r="L9" s="37"/>
      <c r="M9" s="40"/>
    </row>
    <row r="10" spans="1:13" x14ac:dyDescent="0.25">
      <c r="A10" s="43"/>
      <c r="B10" s="44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40"/>
    </row>
    <row r="11" spans="1:13" x14ac:dyDescent="0.25">
      <c r="A11" s="43"/>
      <c r="B11" s="44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40"/>
    </row>
    <row r="12" spans="1:13" x14ac:dyDescent="0.25">
      <c r="A12" s="43"/>
      <c r="B12" s="44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40"/>
    </row>
    <row r="13" spans="1:13" x14ac:dyDescent="0.25">
      <c r="A13" s="43"/>
      <c r="B13" s="44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40"/>
    </row>
    <row r="14" spans="1:13" x14ac:dyDescent="0.25">
      <c r="A14" s="43"/>
      <c r="B14" s="44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40"/>
    </row>
    <row r="15" spans="1:13" x14ac:dyDescent="0.25">
      <c r="A15" s="43"/>
      <c r="B15" s="44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40"/>
    </row>
    <row r="16" spans="1:13" x14ac:dyDescent="0.25">
      <c r="A16" s="41"/>
      <c r="B16" s="42"/>
      <c r="C16" s="37"/>
      <c r="D16" s="37"/>
      <c r="E16" s="37"/>
      <c r="F16" s="37"/>
      <c r="G16" s="37"/>
      <c r="H16" s="37"/>
      <c r="I16" s="37"/>
      <c r="J16" s="37"/>
      <c r="K16" s="37"/>
      <c r="L16" s="37"/>
      <c r="M16" s="40"/>
    </row>
    <row r="17" spans="1:15" x14ac:dyDescent="0.25">
      <c r="A17" s="43"/>
      <c r="B17" s="44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40"/>
    </row>
    <row r="18" spans="1:15" x14ac:dyDescent="0.25">
      <c r="A18" s="37"/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</row>
    <row r="19" spans="1:15" x14ac:dyDescent="0.25">
      <c r="A19" s="37"/>
      <c r="B19" s="37"/>
      <c r="C19" s="37"/>
      <c r="D19" s="37"/>
      <c r="E19" s="37"/>
      <c r="F19" s="37"/>
      <c r="G19" s="37"/>
      <c r="H19" s="37"/>
      <c r="I19" s="37"/>
      <c r="J19" s="37"/>
      <c r="K19" s="37"/>
      <c r="L19" s="37"/>
      <c r="M19" s="37"/>
    </row>
    <row r="20" spans="1:15" x14ac:dyDescent="0.25">
      <c r="A20" s="37"/>
      <c r="B20" s="37"/>
      <c r="C20" s="37"/>
      <c r="D20" s="37"/>
      <c r="E20" s="37"/>
      <c r="F20" s="37"/>
      <c r="G20" s="37"/>
      <c r="H20" s="37"/>
      <c r="I20" s="37"/>
      <c r="J20" s="37"/>
      <c r="K20" s="37"/>
      <c r="L20" s="37"/>
      <c r="M20" s="37"/>
      <c r="O20" t="s">
        <v>223</v>
      </c>
    </row>
    <row r="21" spans="1:15" x14ac:dyDescent="0.25">
      <c r="A21" s="37"/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</row>
    <row r="22" spans="1:15" x14ac:dyDescent="0.25">
      <c r="A22" s="37"/>
      <c r="B22" s="37"/>
      <c r="C22" s="37"/>
      <c r="D22" s="37"/>
      <c r="E22" s="37"/>
      <c r="F22" s="37"/>
      <c r="G22" s="37"/>
      <c r="H22" s="37"/>
      <c r="I22" s="37"/>
      <c r="J22" s="37"/>
      <c r="K22" s="37"/>
      <c r="L22" s="37"/>
      <c r="M22" s="37"/>
    </row>
    <row r="23" spans="1:15" x14ac:dyDescent="0.25">
      <c r="A23" s="37"/>
      <c r="B23" s="37"/>
      <c r="C23" s="37"/>
      <c r="D23" s="37"/>
      <c r="E23" s="37"/>
      <c r="F23" s="37"/>
      <c r="G23" s="37"/>
      <c r="H23" s="37"/>
      <c r="I23" s="37"/>
      <c r="J23" s="37"/>
      <c r="K23" s="37"/>
      <c r="L23" s="37"/>
      <c r="M23" s="37"/>
    </row>
    <row r="24" spans="1:15" x14ac:dyDescent="0.25">
      <c r="A24" s="37"/>
      <c r="B24" s="37"/>
      <c r="C24" s="37"/>
      <c r="D24" s="37"/>
      <c r="E24" s="37"/>
      <c r="F24" s="37"/>
      <c r="G24" s="37"/>
      <c r="H24" s="37"/>
      <c r="I24" s="37"/>
      <c r="J24" s="37"/>
      <c r="K24" s="37"/>
      <c r="L24" s="37"/>
      <c r="M24" s="37"/>
    </row>
    <row r="25" spans="1:15" x14ac:dyDescent="0.25">
      <c r="A25" s="37"/>
      <c r="B25" s="37"/>
      <c r="C25" s="37"/>
      <c r="D25" s="37"/>
      <c r="E25" s="37"/>
      <c r="F25" s="37"/>
      <c r="G25" s="37"/>
      <c r="H25" s="37"/>
      <c r="I25" s="37"/>
      <c r="J25" s="37"/>
      <c r="K25" s="37"/>
      <c r="L25" s="37"/>
      <c r="M25" s="37"/>
    </row>
    <row r="26" spans="1:15" x14ac:dyDescent="0.25">
      <c r="A26" s="37"/>
      <c r="B26" s="37"/>
      <c r="C26" s="37"/>
      <c r="D26" s="37"/>
      <c r="E26" s="37"/>
      <c r="F26" s="37"/>
      <c r="G26" s="37"/>
      <c r="H26" s="37"/>
      <c r="I26" s="37"/>
      <c r="J26" s="37"/>
      <c r="K26" s="37"/>
      <c r="L26" s="37"/>
      <c r="M26" s="37"/>
    </row>
    <row r="27" spans="1:15" x14ac:dyDescent="0.25">
      <c r="A27" s="37"/>
      <c r="B27" s="3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</row>
    <row r="28" spans="1:15" x14ac:dyDescent="0.25">
      <c r="A28" s="37"/>
      <c r="B28" s="37"/>
      <c r="C28" s="37"/>
      <c r="D28" s="37"/>
      <c r="E28" s="37"/>
      <c r="F28" s="37"/>
      <c r="G28" s="37"/>
      <c r="H28" s="37"/>
      <c r="I28" s="37"/>
      <c r="J28" s="37"/>
      <c r="K28" s="37"/>
      <c r="L28" s="37"/>
      <c r="M28" s="37"/>
    </row>
    <row r="29" spans="1:15" x14ac:dyDescent="0.25">
      <c r="A29" s="37"/>
      <c r="B29" s="37"/>
      <c r="C29" s="37"/>
      <c r="D29" s="37"/>
      <c r="E29" s="37"/>
      <c r="F29" s="37"/>
      <c r="G29" s="37"/>
      <c r="H29" s="37"/>
      <c r="I29" s="37"/>
      <c r="J29" s="37"/>
      <c r="K29" s="37"/>
      <c r="L29" s="37"/>
      <c r="M29" s="37"/>
    </row>
    <row r="30" spans="1:15" x14ac:dyDescent="0.25">
      <c r="A30" s="37"/>
      <c r="B30" s="37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</row>
    <row r="31" spans="1:15" x14ac:dyDescent="0.25">
      <c r="A31" s="37"/>
      <c r="B31" s="37"/>
      <c r="C31" s="37"/>
      <c r="D31" s="37"/>
      <c r="E31" s="37"/>
      <c r="F31" s="37"/>
      <c r="G31" s="37"/>
      <c r="H31" s="37"/>
      <c r="I31" s="37"/>
      <c r="J31" s="37"/>
      <c r="K31" s="37"/>
      <c r="L31" s="37"/>
      <c r="M31" s="37"/>
    </row>
    <row r="32" spans="1:15" x14ac:dyDescent="0.25">
      <c r="A32" s="37"/>
      <c r="B32" s="37"/>
      <c r="C32" s="37"/>
      <c r="D32" s="37"/>
      <c r="E32" s="37"/>
      <c r="F32" s="37"/>
      <c r="G32" s="37"/>
      <c r="H32" s="37"/>
      <c r="I32" s="37"/>
      <c r="J32" s="37"/>
      <c r="K32" s="37"/>
      <c r="L32" s="37"/>
      <c r="M32" s="37"/>
    </row>
    <row r="33" spans="1:13" x14ac:dyDescent="0.25">
      <c r="A33" s="37"/>
      <c r="B33" s="37"/>
      <c r="C33" s="37"/>
      <c r="D33" s="37"/>
      <c r="E33" s="37"/>
      <c r="F33" s="37"/>
      <c r="G33" s="37"/>
      <c r="H33" s="37"/>
      <c r="I33" s="37"/>
      <c r="J33" s="37"/>
      <c r="K33" s="37"/>
      <c r="L33" s="37"/>
      <c r="M33" s="37"/>
    </row>
    <row r="34" spans="1:13" x14ac:dyDescent="0.25">
      <c r="A34" s="37"/>
      <c r="B34" s="37"/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</row>
    <row r="35" spans="1:13" x14ac:dyDescent="0.25">
      <c r="A35" s="37"/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</row>
    <row r="36" spans="1:13" x14ac:dyDescent="0.25">
      <c r="A36" s="37"/>
      <c r="B36" s="37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</row>
    <row r="37" spans="1:13" x14ac:dyDescent="0.25">
      <c r="A37" s="37"/>
      <c r="B37" s="37"/>
      <c r="C37" s="37"/>
      <c r="D37" s="37"/>
      <c r="E37" s="37"/>
      <c r="F37" s="37"/>
      <c r="G37" s="37"/>
      <c r="H37" s="37"/>
      <c r="I37" s="37"/>
      <c r="J37" s="37"/>
      <c r="K37" s="37"/>
      <c r="L37" s="37"/>
      <c r="M37" s="37"/>
    </row>
    <row r="38" spans="1:13" x14ac:dyDescent="0.25">
      <c r="A38" s="37"/>
      <c r="B38" s="37"/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</row>
    <row r="39" spans="1:13" x14ac:dyDescent="0.25">
      <c r="A39" s="37"/>
      <c r="B39" s="37"/>
      <c r="C39" s="37"/>
      <c r="D39" s="37"/>
      <c r="E39" s="37"/>
      <c r="F39" s="37"/>
      <c r="G39" s="37"/>
      <c r="H39" s="37"/>
      <c r="I39" s="37"/>
      <c r="J39" s="37"/>
      <c r="K39" s="37"/>
      <c r="L39" s="37"/>
      <c r="M39" s="37"/>
    </row>
    <row r="40" spans="1:13" x14ac:dyDescent="0.25">
      <c r="A40" s="37"/>
      <c r="B40" s="37"/>
      <c r="C40" s="37"/>
      <c r="D40" s="37"/>
      <c r="E40" s="37"/>
      <c r="F40" s="37"/>
      <c r="G40" s="37"/>
      <c r="H40" s="37"/>
      <c r="I40" s="37"/>
      <c r="J40" s="37"/>
      <c r="K40" s="37"/>
      <c r="L40" s="37"/>
      <c r="M40" s="37"/>
    </row>
    <row r="41" spans="1:13" x14ac:dyDescent="0.25">
      <c r="A41" s="37"/>
      <c r="B41" s="37"/>
      <c r="C41" s="37"/>
      <c r="D41" s="37"/>
      <c r="E41" s="37"/>
      <c r="F41" s="37"/>
      <c r="G41" s="37"/>
      <c r="H41" s="37"/>
      <c r="I41" s="37"/>
      <c r="J41" s="37"/>
      <c r="K41" s="37"/>
      <c r="L41" s="37"/>
      <c r="M41" s="37"/>
    </row>
    <row r="42" spans="1:13" x14ac:dyDescent="0.25">
      <c r="A42" s="37"/>
      <c r="B42" s="3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</row>
    <row r="43" spans="1:13" x14ac:dyDescent="0.25">
      <c r="A43" s="37"/>
      <c r="B43" s="37"/>
      <c r="C43" s="37"/>
      <c r="D43" s="37"/>
      <c r="E43" s="37"/>
      <c r="F43" s="37"/>
      <c r="G43" s="37"/>
      <c r="H43" s="37"/>
      <c r="I43" s="37"/>
      <c r="J43" s="37"/>
      <c r="K43" s="37"/>
      <c r="L43" s="37"/>
      <c r="M43" s="37"/>
    </row>
    <row r="44" spans="1:13" x14ac:dyDescent="0.25">
      <c r="A44" s="37"/>
      <c r="B44" s="37"/>
      <c r="C44" s="37"/>
      <c r="D44" s="37"/>
      <c r="E44" s="37"/>
      <c r="F44" s="37"/>
      <c r="G44" s="37"/>
      <c r="H44" s="37"/>
      <c r="I44" s="37"/>
      <c r="J44" s="37"/>
      <c r="K44" s="37"/>
      <c r="L44" s="37"/>
      <c r="M44" s="37"/>
    </row>
    <row r="45" spans="1:13" x14ac:dyDescent="0.25">
      <c r="A45" s="37"/>
      <c r="B45" s="37"/>
      <c r="C45" s="37"/>
      <c r="D45" s="37"/>
      <c r="E45" s="37"/>
      <c r="F45" s="37"/>
      <c r="G45" s="37"/>
      <c r="H45" s="37"/>
      <c r="I45" s="37"/>
      <c r="J45" s="37"/>
      <c r="K45" s="37"/>
      <c r="L45" s="37"/>
      <c r="M45" s="37"/>
    </row>
    <row r="46" spans="1:13" x14ac:dyDescent="0.25">
      <c r="A46" s="37"/>
      <c r="B46" s="37"/>
      <c r="C46" s="37"/>
      <c r="D46" s="37"/>
      <c r="E46" s="37"/>
      <c r="F46" s="37"/>
      <c r="G46" s="37"/>
      <c r="H46" s="37"/>
      <c r="I46" s="37"/>
      <c r="J46" s="37"/>
      <c r="K46" s="37"/>
      <c r="L46" s="37"/>
      <c r="M46" s="37"/>
    </row>
    <row r="47" spans="1:13" x14ac:dyDescent="0.25">
      <c r="A47" s="37"/>
      <c r="B47" s="37"/>
      <c r="C47" s="37"/>
      <c r="D47" s="37"/>
      <c r="E47" s="37"/>
      <c r="F47" s="37"/>
      <c r="G47" s="37"/>
      <c r="H47" s="37"/>
      <c r="I47" s="37"/>
      <c r="J47" s="37"/>
      <c r="K47" s="37"/>
      <c r="L47" s="37"/>
      <c r="M47" s="37"/>
    </row>
    <row r="48" spans="1:13" x14ac:dyDescent="0.25">
      <c r="A48" s="37"/>
      <c r="B48" s="37"/>
      <c r="C48" s="37"/>
      <c r="D48" s="37"/>
      <c r="E48" s="37"/>
      <c r="F48" s="37"/>
      <c r="G48" s="37"/>
      <c r="H48" s="37"/>
      <c r="I48" s="37"/>
      <c r="J48" s="37"/>
      <c r="K48" s="37"/>
      <c r="L48" s="37"/>
      <c r="M48" s="37"/>
    </row>
    <row r="49" spans="1:13" x14ac:dyDescent="0.25">
      <c r="A49" s="37"/>
      <c r="B49" s="37"/>
      <c r="C49" s="37"/>
      <c r="D49" s="37"/>
      <c r="E49" s="37"/>
      <c r="F49" s="37"/>
      <c r="G49" s="37"/>
      <c r="H49" s="37"/>
      <c r="I49" s="37"/>
      <c r="J49" s="37"/>
      <c r="K49" s="37"/>
      <c r="L49" s="37"/>
      <c r="M49" s="37"/>
    </row>
    <row r="50" spans="1:13" ht="15.75" thickBot="1" x14ac:dyDescent="0.3">
      <c r="A50" s="78"/>
      <c r="B50" s="78"/>
      <c r="C50" s="78"/>
      <c r="D50" s="78"/>
      <c r="E50" s="78"/>
      <c r="F50" s="78"/>
      <c r="G50" s="78"/>
      <c r="H50" s="78"/>
      <c r="I50" s="78"/>
      <c r="J50" s="78"/>
      <c r="K50" s="78"/>
      <c r="L50" s="78"/>
      <c r="M50" s="78"/>
    </row>
    <row r="51" spans="1:13" ht="15.75" thickBot="1" x14ac:dyDescent="0.3">
      <c r="A51" s="79"/>
      <c r="B51" s="45"/>
      <c r="C51" s="45">
        <f t="shared" ref="C51:M51" si="0">SUM(C2:C50)</f>
        <v>4108880</v>
      </c>
      <c r="D51" s="45">
        <f t="shared" si="0"/>
        <v>91273.279999999999</v>
      </c>
      <c r="E51" s="45">
        <f t="shared" si="0"/>
        <v>85197.119999999995</v>
      </c>
      <c r="F51" s="45">
        <f t="shared" si="0"/>
        <v>15800</v>
      </c>
      <c r="G51" s="45">
        <f t="shared" si="0"/>
        <v>14100</v>
      </c>
      <c r="H51" s="45">
        <f t="shared" si="0"/>
        <v>1080746</v>
      </c>
      <c r="I51" s="45">
        <f t="shared" si="0"/>
        <v>156000</v>
      </c>
      <c r="J51" s="45">
        <f t="shared" si="0"/>
        <v>131000</v>
      </c>
      <c r="K51" s="45">
        <f t="shared" si="0"/>
        <v>1574116.4</v>
      </c>
      <c r="L51" s="45">
        <f t="shared" si="0"/>
        <v>264000</v>
      </c>
      <c r="M51" s="46">
        <f t="shared" si="0"/>
        <v>2534763.6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E1:I17"/>
  <sheetViews>
    <sheetView topLeftCell="B1" workbookViewId="0">
      <selection activeCell="I18" sqref="I18"/>
    </sheetView>
  </sheetViews>
  <sheetFormatPr baseColWidth="10" defaultRowHeight="15" x14ac:dyDescent="0.25"/>
  <cols>
    <col min="4" max="4" width="1.7109375" customWidth="1"/>
    <col min="5" max="5" width="21.5703125" customWidth="1"/>
    <col min="6" max="6" width="23.42578125" customWidth="1"/>
    <col min="7" max="7" width="45" customWidth="1"/>
    <col min="8" max="8" width="15.85546875" customWidth="1"/>
    <col min="9" max="9" width="15.140625" customWidth="1"/>
  </cols>
  <sheetData>
    <row r="1" spans="5:9" ht="16.5" thickBot="1" x14ac:dyDescent="0.3">
      <c r="E1" s="55" t="s">
        <v>88</v>
      </c>
      <c r="F1" s="56" t="s">
        <v>89</v>
      </c>
      <c r="G1" s="56" t="s">
        <v>75</v>
      </c>
      <c r="H1" s="56" t="s">
        <v>76</v>
      </c>
      <c r="I1" s="57" t="s">
        <v>77</v>
      </c>
    </row>
    <row r="2" spans="5:9" ht="15.75" x14ac:dyDescent="0.25">
      <c r="E2" s="58">
        <v>421</v>
      </c>
      <c r="F2" s="59"/>
      <c r="G2" s="60" t="s">
        <v>78</v>
      </c>
      <c r="H2" s="61">
        <v>156000</v>
      </c>
      <c r="I2" s="62"/>
    </row>
    <row r="3" spans="5:9" ht="16.5" thickBot="1" x14ac:dyDescent="0.3">
      <c r="E3" s="63"/>
      <c r="F3" s="64">
        <v>521</v>
      </c>
      <c r="G3" s="65" t="s">
        <v>79</v>
      </c>
      <c r="H3" s="64"/>
      <c r="I3" s="66">
        <v>156000</v>
      </c>
    </row>
    <row r="4" spans="5:9" ht="15.75" x14ac:dyDescent="0.25">
      <c r="E4" s="58">
        <v>661</v>
      </c>
      <c r="F4" s="59"/>
      <c r="G4" s="60" t="s">
        <v>80</v>
      </c>
      <c r="H4" s="59">
        <v>4108880</v>
      </c>
      <c r="I4" s="62"/>
    </row>
    <row r="5" spans="5:9" ht="15.75" x14ac:dyDescent="0.25">
      <c r="E5" s="67">
        <v>663</v>
      </c>
      <c r="F5" s="68"/>
      <c r="G5" s="69" t="s">
        <v>81</v>
      </c>
      <c r="H5" s="68">
        <v>264000</v>
      </c>
      <c r="I5" s="70"/>
    </row>
    <row r="6" spans="5:9" ht="16.5" thickBot="1" x14ac:dyDescent="0.3">
      <c r="E6" s="63"/>
      <c r="F6" s="64">
        <v>422</v>
      </c>
      <c r="G6" s="65" t="s">
        <v>82</v>
      </c>
      <c r="H6" s="64"/>
      <c r="I6" s="66">
        <v>4372880</v>
      </c>
    </row>
    <row r="7" spans="5:9" ht="15.75" x14ac:dyDescent="0.25">
      <c r="E7" s="58">
        <v>422</v>
      </c>
      <c r="F7" s="59"/>
      <c r="G7" s="60" t="s">
        <v>82</v>
      </c>
      <c r="H7" s="59">
        <v>1574116</v>
      </c>
      <c r="I7" s="62"/>
    </row>
    <row r="8" spans="5:9" ht="15.75" x14ac:dyDescent="0.25">
      <c r="E8" s="67"/>
      <c r="F8" s="68">
        <v>421</v>
      </c>
      <c r="G8" s="71" t="s">
        <v>78</v>
      </c>
      <c r="H8" s="68"/>
      <c r="I8" s="70">
        <v>156000</v>
      </c>
    </row>
    <row r="9" spans="5:9" ht="15.75" x14ac:dyDescent="0.25">
      <c r="E9" s="67"/>
      <c r="F9" s="68">
        <v>4313</v>
      </c>
      <c r="G9" s="71" t="s">
        <v>83</v>
      </c>
      <c r="H9" s="68"/>
      <c r="I9" s="70">
        <v>91273</v>
      </c>
    </row>
    <row r="10" spans="5:9" ht="15.75" x14ac:dyDescent="0.25">
      <c r="E10" s="67"/>
      <c r="F10" s="68">
        <v>4314</v>
      </c>
      <c r="G10" s="71" t="s">
        <v>84</v>
      </c>
      <c r="H10" s="68"/>
      <c r="I10" s="70">
        <v>85197</v>
      </c>
    </row>
    <row r="11" spans="5:9" ht="15.75" x14ac:dyDescent="0.25">
      <c r="E11" s="67"/>
      <c r="F11" s="68">
        <v>4331</v>
      </c>
      <c r="G11" s="71" t="s">
        <v>85</v>
      </c>
      <c r="H11" s="68"/>
      <c r="I11" s="70">
        <v>15800</v>
      </c>
    </row>
    <row r="12" spans="5:9" ht="15.75" x14ac:dyDescent="0.25">
      <c r="E12" s="67"/>
      <c r="F12" s="68">
        <v>447</v>
      </c>
      <c r="G12" s="71" t="s">
        <v>86</v>
      </c>
      <c r="H12" s="68"/>
      <c r="I12" s="70">
        <v>1094846</v>
      </c>
    </row>
    <row r="13" spans="5:9" ht="16.5" thickBot="1" x14ac:dyDescent="0.3">
      <c r="E13" s="63"/>
      <c r="F13" s="64">
        <v>423</v>
      </c>
      <c r="G13" s="65" t="s">
        <v>40</v>
      </c>
      <c r="H13" s="64"/>
      <c r="I13" s="66">
        <v>131000</v>
      </c>
    </row>
    <row r="14" spans="5:9" ht="16.5" thickBot="1" x14ac:dyDescent="0.3">
      <c r="E14" s="58">
        <v>422</v>
      </c>
      <c r="F14" s="59"/>
      <c r="G14" s="72" t="s">
        <v>82</v>
      </c>
      <c r="H14" s="59">
        <v>2534763</v>
      </c>
      <c r="I14" s="62"/>
    </row>
    <row r="15" spans="5:9" ht="16.5" thickBot="1" x14ac:dyDescent="0.3">
      <c r="E15" s="67">
        <v>423</v>
      </c>
      <c r="F15" s="68"/>
      <c r="G15" s="72" t="s">
        <v>40</v>
      </c>
      <c r="H15" s="68">
        <v>131000</v>
      </c>
      <c r="I15" s="70"/>
    </row>
    <row r="16" spans="5:9" ht="16.5" thickBot="1" x14ac:dyDescent="0.3">
      <c r="E16" s="63"/>
      <c r="F16" s="64">
        <v>521</v>
      </c>
      <c r="G16" s="65" t="s">
        <v>79</v>
      </c>
      <c r="H16" s="64"/>
      <c r="I16" s="66">
        <v>2665763</v>
      </c>
    </row>
    <row r="17" spans="5:9" ht="16.5" thickBot="1" x14ac:dyDescent="0.3">
      <c r="E17" s="73" t="s">
        <v>87</v>
      </c>
      <c r="F17" s="74"/>
      <c r="G17" s="75"/>
      <c r="H17" s="84">
        <f>H2+H4+H5+H7+H14+H15</f>
        <v>8768759</v>
      </c>
      <c r="I17" s="75">
        <f>I3+I6+I8+I9+I10+I11+I12+I13+I16</f>
        <v>8768759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</vt:i4>
      </vt:variant>
    </vt:vector>
  </HeadingPairs>
  <TitlesOfParts>
    <vt:vector size="6" baseType="lpstr">
      <vt:lpstr>Menu</vt:lpstr>
      <vt:lpstr>Bulletin</vt:lpstr>
      <vt:lpstr>Tableau de bord</vt:lpstr>
      <vt:lpstr>Livre de paie</vt:lpstr>
      <vt:lpstr>Ecriture comptable</vt:lpstr>
      <vt:lpstr>Bulletin!Zone_d_impression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dcterms:created xsi:type="dcterms:W3CDTF">2020-05-28T23:27:37Z</dcterms:created>
  <dcterms:modified xsi:type="dcterms:W3CDTF">2020-07-05T04:14:52Z</dcterms:modified>
</cp:coreProperties>
</file>